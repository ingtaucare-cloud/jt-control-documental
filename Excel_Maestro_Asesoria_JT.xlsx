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f6bf66ec7d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b472c81a9f6459b"/>
    <x:sheet xmlns:r="http://schemas.openxmlformats.org/officeDocument/2006/relationships" name="Trabajadores" sheetId="2" r:id="R9b559251611f4adc"/>
    <x:sheet xmlns:r="http://schemas.openxmlformats.org/officeDocument/2006/relationships" name="Contratos" sheetId="3" r:id="R0d8f57488d4d4261"/>
    <x:sheet xmlns:r="http://schemas.openxmlformats.org/officeDocument/2006/relationships" name="Acreditacion_CMDIC" sheetId="4" r:id="R8ad71aaaf8d045c1"/>
    <x:sheet xmlns:r="http://schemas.openxmlformats.org/officeDocument/2006/relationships" name="Acreditacion_QB" sheetId="5" r:id="R719db465f5074a8f"/>
    <x:sheet xmlns:r="http://schemas.openxmlformats.org/officeDocument/2006/relationships" name="Capacitaciones" sheetId="6" r:id="Rd6d4869814ee4341"/>
    <x:sheet xmlns:r="http://schemas.openxmlformats.org/officeDocument/2006/relationships" name="Equipos" sheetId="7" r:id="R96174e55cb584259"/>
    <x:sheet xmlns:r="http://schemas.openxmlformats.org/officeDocument/2006/relationships" name="Listas" sheetId="8" r:id="R795937c08d7b4f08"/>
    <x:sheet xmlns:r="http://schemas.openxmlformats.org/officeDocument/2006/relationships" name="Instrucciones" sheetId="9" r:id="Rdfd053558f2241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-yyyy"/>
  </x:numFmts>
  <x:fonts count="6">
    <x:font>
      <x:sz val="11"/>
      <x:name val="Carlito"/>
    </x:font>
    <x:font>
      <x:b/>
      <x:sz val="11"/>
      <x:color rgb="D4AF37"/>
      <x:name val="Carlito"/>
    </x:font>
    <x:font>
      <x:b/>
      <x:sz val="18"/>
      <x:color rgb="D4AF37"/>
      <x:name val="Carlito"/>
    </x:font>
    <x:font>
      <x:b/>
      <x:sz val="16"/>
      <x:color rgb="D4AF37"/>
      <x:name val="Carlito"/>
    </x:font>
    <x:font>
      <x:sz val="11"/>
      <x:color rgb="FFFFFF"/>
      <x:name val="Carlito"/>
    </x:font>
    <x:font>
      <x:i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00000"/>
      </x:patternFill>
    </x:fill>
    <x:fill>
      <x:patternFill patternType="solid">
        <x:fgColor rgb="1C1C1C"/>
      </x:patternFill>
    </x:fill>
    <x:fill>
      <x:patternFill patternType="solid">
        <x:fgColor rgb="222222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8">
    <x:dxf>
      <x:font>
        <x:b/>
        <x:color rgb="FF5252"/>
      </x:font>
    </x:dxf>
    <x:dxf>
      <x:font>
        <x:b/>
        <x:color rgb="FFB300"/>
      </x:font>
    </x:dxf>
    <x:dxf>
      <x:font>
        <x:b/>
        <x:color rgb="00C853"/>
      </x:font>
    </x:dxf>
    <x:dxf>
      <x:font>
        <x:b/>
        <x:color rgb="FF5252"/>
      </x:font>
    </x:dxf>
    <x:dxf>
      <x:font>
        <x:b/>
        <x:color rgb="FFB300"/>
      </x:font>
    </x:dxf>
    <x:dxf>
      <x:font>
        <x:b/>
        <x:color rgb="00C853"/>
      </x:font>
    </x:dxf>
    <x:dxf>
      <x:font>
        <x:b/>
        <x:color rgb="FF5252"/>
      </x:font>
    </x:dxf>
    <x:dxf>
      <x:font>
        <x:b/>
        <x:color rgb="FFB300"/>
      </x:font>
    </x:dxf>
    <x:dxf>
      <x:font>
        <x:b/>
        <x:color rgb="00C853"/>
      </x:font>
    </x:dxf>
    <x:dxf>
      <x:font>
        <x:b/>
        <x:color rgb="FF5252"/>
      </x:font>
    </x:dxf>
    <x:dxf>
      <x:font>
        <x:b/>
        <x:color rgb="FFB300"/>
      </x:font>
    </x:dxf>
    <x:dxf>
      <x:font>
        <x:b/>
        <x:color rgb="00C853"/>
      </x:font>
    </x:dxf>
    <x:dxf>
      <x:font>
        <x:b/>
        <x:color rgb="FF5252"/>
      </x:font>
    </x:dxf>
    <x:dxf>
      <x:font>
        <x:b/>
        <x:color rgb="FFB300"/>
      </x:font>
    </x:dxf>
    <x:dxf>
      <x:font>
        <x:b/>
        <x:color rgb="00C853"/>
      </x:font>
    </x:dxf>
    <x:dxf>
      <x:font>
        <x:b/>
        <x:color rgb="FF5252"/>
      </x:font>
    </x:dxf>
    <x:dxf>
      <x:font>
        <x:b/>
        <x:color rgb="FFB300"/>
      </x:font>
    </x:dxf>
    <x:dxf>
      <x:font>
        <x:b/>
        <x:color rgb="00C853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517aa02c3242d3" /><Relationship Type="http://schemas.openxmlformats.org/officeDocument/2006/relationships/theme" Target="/xl/theme/theme1.xml" Id="R7f68320a92c442e2" /><Relationship Type="http://schemas.openxmlformats.org/officeDocument/2006/relationships/sharedStrings" Target="/xl/sharedStrings.xml" Id="R8dce1de2d0474e4a" /><Relationship Type="http://schemas.openxmlformats.org/officeDocument/2006/relationships/worksheet" Target="/xl/worksheets/sheet1.xml" Id="R4b472c81a9f6459b" /><Relationship Type="http://schemas.openxmlformats.org/officeDocument/2006/relationships/worksheet" Target="/xl/worksheets/sheet2.xml" Id="R9b559251611f4adc" /><Relationship Type="http://schemas.openxmlformats.org/officeDocument/2006/relationships/worksheet" Target="/xl/worksheets/sheet3.xml" Id="R0d8f57488d4d4261" /><Relationship Type="http://schemas.openxmlformats.org/officeDocument/2006/relationships/worksheet" Target="/xl/worksheets/sheet4.xml" Id="R8ad71aaaf8d045c1" /><Relationship Type="http://schemas.openxmlformats.org/officeDocument/2006/relationships/worksheet" Target="/xl/worksheets/sheet5.xml" Id="R719db465f5074a8f" /><Relationship Type="http://schemas.openxmlformats.org/officeDocument/2006/relationships/worksheet" Target="/xl/worksheets/sheet6.xml" Id="Rd6d4869814ee4341" /><Relationship Type="http://schemas.openxmlformats.org/officeDocument/2006/relationships/worksheet" Target="/xl/worksheets/sheet7.xml" Id="R96174e55cb584259" /><Relationship Type="http://schemas.openxmlformats.org/officeDocument/2006/relationships/worksheet" Target="/xl/worksheets/sheet8.xml" Id="R795937c08d7b4f08" /><Relationship Type="http://schemas.openxmlformats.org/officeDocument/2006/relationships/worksheet" Target="/xl/worksheets/sheet9.xml" Id="Rdfd053558f2241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c1e33703f442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Resumen por área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Vigentes/Acreditados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'Dashboard'!$E$4:$E$9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Alertas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'Dashboard'!$F$4:$F$9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c1e33703f4425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bajadoresTbl" displayName="TrabajadoresTbl" ref="A1:G20" headerRowCount="1">
  <x:tableColumns count="7">
    <x:tableColumn id="1" name="RUT"/>
    <x:tableColumn id="2" name="Nombre"/>
    <x:tableColumn id="3" name="Cargo"/>
    <x:tableColumn id="4" name="Empresa/Cliente"/>
    <x:tableColumn id="5" name="Faena"/>
    <x:tableColumn id="6" name="Estado"/>
    <x:tableColumn id="7" name="Observación"/>
  </x:tableColumns>
  <x:tableStyleInfo name="TableStyleMedium2" showRowStripes="1"/>
</x:table>
</file>

<file path=xl/tables/table2.xml><?xml version="1.0" encoding="utf-8"?>
<x:table xmlns:x="http://schemas.openxmlformats.org/spreadsheetml/2006/main" id="2" name="ContratosTbl" displayName="ContratosTbl" ref="A1:G20" headerRowCount="1">
  <x:tableColumns count="7">
    <x:tableColumn id="1" name="RUT"/>
    <x:tableColumn id="2" name="Nombre"/>
    <x:tableColumn id="3" name="Tipo Contrato"/>
    <x:tableColumn id="4" name="Inicio"/>
    <x:tableColumn id="5" name="Vencimiento"/>
    <x:tableColumn id="6" name="Estado"/>
    <x:tableColumn id="7" name="Observación"/>
  </x:tableColumns>
  <x:tableStyleInfo name="TableStyleMedium2" showRowStripes="1"/>
</x:table>
</file>

<file path=xl/tables/table3.xml><?xml version="1.0" encoding="utf-8"?>
<x:table xmlns:x="http://schemas.openxmlformats.org/spreadsheetml/2006/main" id="3" name="CMDICTbl" displayName="CMDICTbl" ref="A1:G20" headerRowCount="1">
  <x:tableColumns count="7">
    <x:tableColumn id="1" name="RUT"/>
    <x:tableColumn id="2" name="Nombre"/>
    <x:tableColumn id="3" name="Cargo"/>
    <x:tableColumn id="4" name="Examen"/>
    <x:tableColumn id="5" name="Inducción/Curso"/>
    <x:tableColumn id="6" name="Estado"/>
    <x:tableColumn id="7" name="Observación"/>
  </x:tableColumns>
  <x:tableStyleInfo name="TableStyleMedium2" showRowStripes="1"/>
</x:table>
</file>

<file path=xl/tables/table4.xml><?xml version="1.0" encoding="utf-8"?>
<x:table xmlns:x="http://schemas.openxmlformats.org/spreadsheetml/2006/main" id="4" name="QBTbl" displayName="QBTbl" ref="A1:G20" headerRowCount="1">
  <x:tableColumns count="7">
    <x:tableColumn id="1" name="RUT"/>
    <x:tableColumn id="2" name="Nombre"/>
    <x:tableColumn id="3" name="Cargo"/>
    <x:tableColumn id="4" name="Examen"/>
    <x:tableColumn id="5" name="Inducción/Curso"/>
    <x:tableColumn id="6" name="Estado"/>
    <x:tableColumn id="7" name="Observación"/>
  </x:tableColumns>
  <x:tableStyleInfo name="TableStyleMedium2" showRowStripes="1"/>
</x:table>
</file>

<file path=xl/tables/table5.xml><?xml version="1.0" encoding="utf-8"?>
<x:table xmlns:x="http://schemas.openxmlformats.org/spreadsheetml/2006/main" id="5" name="CapacitacionesTbl" displayName="CapacitacionesTbl" ref="A1:G20" headerRowCount="1">
  <x:tableColumns count="7">
    <x:tableColumn id="1" name="RUT"/>
    <x:tableColumn id="2" name="Nombre"/>
    <x:tableColumn id="3" name="Capacitación"/>
    <x:tableColumn id="4" name="Fecha"/>
    <x:tableColumn id="5" name="Vigencia"/>
    <x:tableColumn id="6" name="Estado"/>
    <x:tableColumn id="7" name="Observación"/>
  </x:tableColumns>
  <x:tableStyleInfo name="TableStyleMedium2" showRowStripes="1"/>
</x:table>
</file>

<file path=xl/tables/table6.xml><?xml version="1.0" encoding="utf-8"?>
<x:table xmlns:x="http://schemas.openxmlformats.org/spreadsheetml/2006/main" id="6" name="EquiposTbl" displayName="EquiposTbl" ref="A1:J39" headerRowCount="1">
  <x:tableColumns count="10">
    <x:tableColumn id="1" name="PPU"/>
    <x:tableColumn id="2" name="Tipo Equipo"/>
    <x:tableColumn id="3" name="Empresa/Cliente"/>
    <x:tableColumn id="4" name="Revisión Técnica"/>
    <x:tableColumn id="5" name="Emisión Gases"/>
    <x:tableColumn id="6" name="Permiso Circulación"/>
    <x:tableColumn id="7" name="SOAP"/>
    <x:tableColumn id="8" name="Póliza"/>
    <x:tableColumn id="9" name="Padrón"/>
    <x:tableColumn id="10" name="Estado Gener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fa84954012845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eec13638064e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5544ea11eb4b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50ab1e131b4c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8bfbebe36b4d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29cdb17cc0647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2916f891dd44f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7" t="str">
        <x:v>ASESORÍA JT - DASHBOARD GENERAL</x:v>
      </x:c>
    </x:row>
    <x:row r="3">
      <x:c r="A3" s="21" t="str">
        <x:v>Indicador</x:v>
      </x:c>
      <x:c r="B3" s="21" t="str">
        <x:v>Total</x:v>
      </x:c>
      <x:c r="C3" s="36"/>
      <x:c r="D3" s="21" t="str">
        <x:v>Área</x:v>
      </x:c>
      <x:c r="E3" s="21" t="str">
        <x:v>Vigentes/Acreditados</x:v>
      </x:c>
      <x:c r="F3" s="21" t="str">
        <x:v>Alertas</x:v>
      </x:c>
    </x:row>
    <x:row r="4">
      <x:c r="A4" s="26" t="str">
        <x:v>Trabajadores</x:v>
      </x:c>
      <x:c r="B4" s="26" t="n">
        <x:f>COUNTA(Trabajadores!A2:A1000)</x:f>
        <x:v>19</x:v>
      </x:c>
      <x:c r="C4" s="36"/>
      <x:c r="D4" s="26" t="str">
        <x:f>"Trabajadores"</x:f>
        <x:v>Trabajadores</x:v>
      </x:c>
      <x:c r="E4" s="26" t="n">
        <x:f>B4</x:f>
        <x:v>19</x:v>
      </x:c>
      <x:c r="F4" s="26" t="n">
        <x:f>0</x:f>
        <x:v>0</x:v>
      </x:c>
    </x:row>
    <x:row r="5">
      <x:c r="A5" s="26" t="str">
        <x:v>Contratos Vigentes</x:v>
      </x:c>
      <x:c r="B5" s="26" t="n">
        <x:f>COUNTIF(Contratos!F2:F1000,"Vigente")</x:f>
        <x:v>19</x:v>
      </x:c>
      <x:c r="C5" s="36"/>
      <x:c r="D5" s="26" t="str">
        <x:f>"Contratos"</x:f>
        <x:v>Contratos</x:v>
      </x:c>
      <x:c r="E5" s="26" t="n">
        <x:f>B5</x:f>
        <x:v>19</x:v>
      </x:c>
      <x:c r="F5" s="26" t="n">
        <x:f>COUNTIF(Contratos!F2:F1000,"Por vencer")+COUNTIF(Contratos!F2:F1000,"Vencido")</x:f>
        <x:v>0</x:v>
      </x:c>
    </x:row>
    <x:row r="6">
      <x:c r="A6" s="26" t="str">
        <x:v>Acreditados CMDIC</x:v>
      </x:c>
      <x:c r="B6" s="26" t="n">
        <x:f>COUNTIF(Acreditacion_CMDIC!F2:F1000,"Acreditado")</x:f>
        <x:v>13</x:v>
      </x:c>
      <x:c r="C6" s="36"/>
      <x:c r="D6" s="26" t="str">
        <x:f>"CMDIC"</x:f>
        <x:v>CMDIC</x:v>
      </x:c>
      <x:c r="E6" s="26" t="n">
        <x:f>B6</x:f>
        <x:v>13</x:v>
      </x:c>
      <x:c r="F6" s="26" t="n">
        <x:f>COUNTIF(Acreditacion_CMDIC!F2:F1000,"Observado")+COUNTIF(Acreditacion_CMDIC!F2:F1000,"En proceso")</x:f>
        <x:v>6</x:v>
      </x:c>
    </x:row>
    <x:row r="7">
      <x:c r="A7" s="26" t="str">
        <x:v>Acreditados QB</x:v>
      </x:c>
      <x:c r="B7" s="26" t="n">
        <x:f>COUNTIF(Acreditacion_QB!F2:F1000,"Acreditado")</x:f>
        <x:v>13</x:v>
      </x:c>
      <x:c r="C7" s="36"/>
      <x:c r="D7" s="26" t="str">
        <x:f>"QB"</x:f>
        <x:v>QB</x:v>
      </x:c>
      <x:c r="E7" s="26" t="n">
        <x:f>B7</x:f>
        <x:v>13</x:v>
      </x:c>
      <x:c r="F7" s="26" t="n">
        <x:f>COUNTIF(Acreditacion_QB!F2:F1000,"Observado")+COUNTIF(Acreditacion_QB!F2:F1000,"En proceso")</x:f>
        <x:v>6</x:v>
      </x:c>
    </x:row>
    <x:row r="8">
      <x:c r="A8" s="26" t="str">
        <x:v>Capacitaciones Vigentes</x:v>
      </x:c>
      <x:c r="B8" s="26" t="n">
        <x:f>COUNTIF(Capacitaciones!F2:F1000,"Vigente")</x:f>
        <x:v>16</x:v>
      </x:c>
      <x:c r="C8" s="36"/>
      <x:c r="D8" s="26" t="str">
        <x:f>"Capacitaciones"</x:f>
        <x:v>Capacitaciones</x:v>
      </x:c>
      <x:c r="E8" s="26" t="n">
        <x:f>B8</x:f>
        <x:v>16</x:v>
      </x:c>
      <x:c r="F8" s="26" t="n">
        <x:f>COUNTIF(Capacitaciones!F2:F1000,"Por vencer")+COUNTIF(Capacitaciones!F2:F1000,"Vencido")</x:f>
        <x:v>3</x:v>
      </x:c>
    </x:row>
    <x:row r="9">
      <x:c r="A9" s="26" t="str">
        <x:v>Equipos Vigentes</x:v>
      </x:c>
      <x:c r="B9" s="26" t="n">
        <x:f>COUNTIF(Equipos!J2:J1000,"Vigente")</x:f>
        <x:v>22</x:v>
      </x:c>
      <x:c r="C9" s="36"/>
      <x:c r="D9" s="26" t="str">
        <x:f>"Equipos"</x:f>
        <x:v>Equipos</x:v>
      </x:c>
      <x:c r="E9" s="26" t="n">
        <x:f>B9</x:f>
        <x:v>22</x:v>
      </x:c>
      <x:c r="F9" s="26" t="n">
        <x:f>COUNTIF(Equipos!J2:J1000,"Observado")</x:f>
        <x:v>16</x:v>
      </x:c>
    </x:row>
    <x:row r="10">
      <x:c r="A10" s="26" t="str">
        <x:v>Por Vencer</x:v>
      </x:c>
      <x:c r="B10" s="26" t="n">
        <x:f>COUNTIF(Capacitaciones!F2:F1000,"Por vencer")+COUNTIF(Contratos!F2:F1000,"Por vencer")</x:f>
        <x:v>3</x:v>
      </x:c>
      <x:c r="C10" s="36"/>
      <x:c r="D10" s="36"/>
      <x:c r="E10" s="36"/>
      <x:c r="F10" s="36"/>
    </x:row>
    <x:row r="11">
      <x:c r="A11" s="26" t="str">
        <x:v>Vencidos / Observados</x:v>
      </x:c>
      <x:c r="B11" s="26" t="n">
        <x:f>COUNTIF(Capacitaciones!F2:F1000,"Vencido")+COUNTIF(Equipos!J2:J1000,"Observado")+COUNTIF(Acreditacion_CMDIC!F2:F1000,"Observado")+COUNTIF(Acreditacion_QB!F2:F1000,"Observado")</x:f>
        <x:v>28</x:v>
      </x:c>
      <x:c r="C11" s="36"/>
      <x:c r="D11" s="36"/>
      <x:c r="E11" s="36"/>
      <x:c r="F11" s="36"/>
    </x:row>
    <x:row r="13">
      <x:c r="A13" s="32" t="str">
        <x:v>Resumen generado desde el Excel Maestro. Actualiza las hojas de datos y el dashboard se recalcula.</x:v>
      </x:c>
      <x:c r="B13" s="32"/>
      <x:c r="C13" s="32"/>
      <x:c r="D13" s="32"/>
      <x:c r="E13" s="32"/>
      <x:c r="F13" s="32"/>
      <x:c r="G13" s="32"/>
      <x:c r="H13" s="32"/>
    </x:row>
  </x:sheetData>
  <x:mergeCells>
    <x:mergeCell ref="A1:H1"/>
    <x:mergeCell ref="A13:H13"/>
  </x:mergeCells>
  <x:pageMargins left="0.7" right="0.7" top="0.75" bottom="0.75" header="0.3" footer="0.3"/>
  <x:drawing xmlns:r="http://schemas.openxmlformats.org/officeDocument/2006/relationships" r:id="Rafa84954012845ca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41" t="str">
        <x:v>RUT</x:v>
      </x:c>
      <x:c r="B1" s="41" t="str">
        <x:v>Nombre</x:v>
      </x:c>
      <x:c r="C1" s="41" t="str">
        <x:v>Cargo</x:v>
      </x:c>
      <x:c r="D1" s="41" t="str">
        <x:v>Empresa/Cliente</x:v>
      </x:c>
      <x:c r="E1" s="41" t="str">
        <x:v>Faena</x:v>
      </x:c>
      <x:c r="F1" s="41" t="str">
        <x:v>Estado</x:v>
      </x:c>
      <x:c r="G1" s="41" t="str">
        <x:v>Observación</x:v>
      </x:c>
    </x:row>
    <x:row r="2">
      <x:c r="A2" s="37" t="str">
        <x:v>10845123-8</x:v>
      </x:c>
      <x:c r="B2" s="37" t="str">
        <x:v>Alberto Andres Zegarra Perez</x:v>
      </x:c>
      <x:c r="C2" s="37" t="str">
        <x:v>Conductor</x:v>
      </x:c>
      <x:c r="D2" s="37" t="str">
        <x:v>Cliente / Empresa</x:v>
      </x:c>
      <x:c r="E2" s="37" t="str">
        <x:v>CMDIC</x:v>
      </x:c>
      <x:c r="F2" s="37" t="str">
        <x:v>Vigente</x:v>
      </x:c>
      <x:c r="G2" s="37" t="str">
        <x:v>Importado desde planilla ULOG</x:v>
      </x:c>
    </x:row>
    <x:row r="3">
      <x:c r="A3" s="37" t="str">
        <x:v>23866138-2</x:v>
      </x:c>
      <x:c r="B3" s="37" t="str">
        <x:v>Celso Roddy Gonzales Condori</x:v>
      </x:c>
      <x:c r="C3" s="37" t="str">
        <x:v>Conductor</x:v>
      </x:c>
      <x:c r="D3" s="37" t="str">
        <x:v>Cliente / Empresa</x:v>
      </x:c>
      <x:c r="E3" s="37" t="str">
        <x:v>CMDIC</x:v>
      </x:c>
      <x:c r="F3" s="37" t="str">
        <x:v>Vigente</x:v>
      </x:c>
      <x:c r="G3" s="37" t="str">
        <x:v>Importado desde planilla ULOG</x:v>
      </x:c>
    </x:row>
    <x:row r="4">
      <x:c r="A4" s="37" t="str">
        <x:v>15924826-7</x:v>
      </x:c>
      <x:c r="B4" s="37" t="str">
        <x:v>Francisco Guillermo Villanueva Pizarro</x:v>
      </x:c>
      <x:c r="C4" s="37" t="str">
        <x:v>Conductor</x:v>
      </x:c>
      <x:c r="D4" s="37" t="str">
        <x:v>Cliente / Empresa</x:v>
      </x:c>
      <x:c r="E4" s="37" t="str">
        <x:v>CMDIC</x:v>
      </x:c>
      <x:c r="F4" s="37" t="str">
        <x:v>Vigente</x:v>
      </x:c>
      <x:c r="G4" s="37" t="str">
        <x:v>Importado desde planilla ULOG</x:v>
      </x:c>
    </x:row>
    <x:row r="5">
      <x:c r="A5" s="37" t="str">
        <x:v>18717101-6</x:v>
      </x:c>
      <x:c r="B5" s="37" t="str">
        <x:v>José Miguel Fuentes Concha</x:v>
      </x:c>
      <x:c r="C5" s="37" t="str">
        <x:v>Conductor</x:v>
      </x:c>
      <x:c r="D5" s="37" t="str">
        <x:v>Cliente / Empresa</x:v>
      </x:c>
      <x:c r="E5" s="37" t="str">
        <x:v>CMDIC</x:v>
      </x:c>
      <x:c r="F5" s="37" t="str">
        <x:v>Vigente</x:v>
      </x:c>
      <x:c r="G5" s="37" t="str">
        <x:v>Importado desde planilla ULOG</x:v>
      </x:c>
    </x:row>
    <x:row r="6">
      <x:c r="A6" s="37" t="str">
        <x:v>19178839-7</x:v>
      </x:c>
      <x:c r="B6" s="37" t="str">
        <x:v>Marco Antonio Canaviri Canaviri</x:v>
      </x:c>
      <x:c r="C6" s="37" t="str">
        <x:v>Conductor</x:v>
      </x:c>
      <x:c r="D6" s="37" t="str">
        <x:v>Cliente / Empresa</x:v>
      </x:c>
      <x:c r="E6" s="37" t="str">
        <x:v>CMDIC</x:v>
      </x:c>
      <x:c r="F6" s="37" t="str">
        <x:v>Vigente</x:v>
      </x:c>
      <x:c r="G6" s="37" t="str">
        <x:v>Importado desde planilla ULOG</x:v>
      </x:c>
    </x:row>
    <x:row r="7">
      <x:c r="A7" s="37" t="str">
        <x:v>8597461-0</x:v>
      </x:c>
      <x:c r="B7" s="37" t="str">
        <x:v>Natalio Edgardo Chacon Torres</x:v>
      </x:c>
      <x:c r="C7" s="37" t="str">
        <x:v>Conductor</x:v>
      </x:c>
      <x:c r="D7" s="37" t="str">
        <x:v>Cliente / Empresa</x:v>
      </x:c>
      <x:c r="E7" s="37" t="str">
        <x:v>CMDIC</x:v>
      </x:c>
      <x:c r="F7" s="37" t="str">
        <x:v>Vigente</x:v>
      </x:c>
      <x:c r="G7" s="37" t="str">
        <x:v>Importado desde planilla ULOG</x:v>
      </x:c>
    </x:row>
    <x:row r="8">
      <x:c r="A8" s="37" t="str">
        <x:v>8555303-8</x:v>
      </x:c>
      <x:c r="B8" s="37" t="str">
        <x:v>Pedro Enrique Arancibia Cartagena</x:v>
      </x:c>
      <x:c r="C8" s="37" t="str">
        <x:v>Conductor</x:v>
      </x:c>
      <x:c r="D8" s="37" t="str">
        <x:v>Cliente / Empresa</x:v>
      </x:c>
      <x:c r="E8" s="37" t="str">
        <x:v>CMDIC</x:v>
      </x:c>
      <x:c r="F8" s="37" t="str">
        <x:v>Vigente</x:v>
      </x:c>
      <x:c r="G8" s="37" t="str">
        <x:v>Importado desde planilla ULOG</x:v>
      </x:c>
    </x:row>
    <x:row r="9">
      <x:c r="A9" s="37" t="str">
        <x:v>18519313-6</x:v>
      </x:c>
      <x:c r="B9" s="37" t="str">
        <x:v>Rodrigo Hernan Rumillanca Cayo</x:v>
      </x:c>
      <x:c r="C9" s="37" t="str">
        <x:v>Conductor</x:v>
      </x:c>
      <x:c r="D9" s="37" t="str">
        <x:v>Cliente / Empresa</x:v>
      </x:c>
      <x:c r="E9" s="37" t="str">
        <x:v>CMDIC</x:v>
      </x:c>
      <x:c r="F9" s="37" t="str">
        <x:v>Vigente</x:v>
      </x:c>
      <x:c r="G9" s="37" t="str">
        <x:v>Importado desde planilla ULOG</x:v>
      </x:c>
    </x:row>
    <x:row r="10">
      <x:c r="A10" s="37" t="str">
        <x:v>12618882-K</x:v>
      </x:c>
      <x:c r="B10" s="37" t="str">
        <x:v>Rodrigo Adimir Alcayaga Tapia</x:v>
      </x:c>
      <x:c r="C10" s="37" t="str">
        <x:v>Conductor</x:v>
      </x:c>
      <x:c r="D10" s="37" t="str">
        <x:v>Cliente / Empresa</x:v>
      </x:c>
      <x:c r="E10" s="37" t="str">
        <x:v>CMDIC</x:v>
      </x:c>
      <x:c r="F10" s="37" t="str">
        <x:v>Vigente</x:v>
      </x:c>
      <x:c r="G10" s="37" t="str">
        <x:v>Importado desde planilla ULOG</x:v>
      </x:c>
    </x:row>
    <x:row r="11">
      <x:c r="A11" s="37" t="str">
        <x:v>23847413-2</x:v>
      </x:c>
      <x:c r="B11" s="37" t="str">
        <x:v>Ruben Mamani Aro</x:v>
      </x:c>
      <x:c r="C11" s="37" t="str">
        <x:v>Conductor</x:v>
      </x:c>
      <x:c r="D11" s="37" t="str">
        <x:v>Cliente / Empresa</x:v>
      </x:c>
      <x:c r="E11" s="37" t="str">
        <x:v>CMDIC</x:v>
      </x:c>
      <x:c r="F11" s="37" t="str">
        <x:v>Vigente</x:v>
      </x:c>
      <x:c r="G11" s="37" t="str">
        <x:v>Importado desde planilla ULOG</x:v>
      </x:c>
    </x:row>
    <x:row r="12">
      <x:c r="A12" s="37" t="str">
        <x:v>16965579-0</x:v>
      </x:c>
      <x:c r="B12" s="37" t="str">
        <x:v>Milton Erik Perez Paredes</x:v>
      </x:c>
      <x:c r="C12" s="37" t="str">
        <x:v>Conductor</x:v>
      </x:c>
      <x:c r="D12" s="37" t="str">
        <x:v>Cliente / Empresa</x:v>
      </x:c>
      <x:c r="E12" s="37" t="str">
        <x:v>CMDIC</x:v>
      </x:c>
      <x:c r="F12" s="37" t="str">
        <x:v>Vigente</x:v>
      </x:c>
      <x:c r="G12" s="37" t="str">
        <x:v>Importado desde planilla ULOG</x:v>
      </x:c>
    </x:row>
    <x:row r="13">
      <x:c r="A13" s="37" t="str">
        <x:v>15686649-0</x:v>
      </x:c>
      <x:c r="B13" s="37" t="str">
        <x:v>Michael Esteban Hurtado Videla</x:v>
      </x:c>
      <x:c r="C13" s="37" t="str">
        <x:v>Conductor</x:v>
      </x:c>
      <x:c r="D13" s="37" t="str">
        <x:v>Cliente / Empresa</x:v>
      </x:c>
      <x:c r="E13" s="37" t="str">
        <x:v>CMDIC</x:v>
      </x:c>
      <x:c r="F13" s="37" t="str">
        <x:v>Vigente</x:v>
      </x:c>
      <x:c r="G13" s="37" t="str">
        <x:v>Importado desde planilla ULOG</x:v>
      </x:c>
    </x:row>
    <x:row r="14">
      <x:c r="A14" s="37" t="str">
        <x:v>18839145-1</x:v>
      </x:c>
      <x:c r="B14" s="37" t="str">
        <x:v>Alberto Javier Ruiz Navarro</x:v>
      </x:c>
      <x:c r="C14" s="37" t="str">
        <x:v>Conductor</x:v>
      </x:c>
      <x:c r="D14" s="37" t="str">
        <x:v>Cliente / Empresa</x:v>
      </x:c>
      <x:c r="E14" s="37" t="str">
        <x:v>CMDIC</x:v>
      </x:c>
      <x:c r="F14" s="37" t="str">
        <x:v>Vigente</x:v>
      </x:c>
      <x:c r="G14" s="37" t="str">
        <x:v>Importado desde planilla ULOG</x:v>
      </x:c>
    </x:row>
    <x:row r="15">
      <x:c r="A15" s="37" t="str">
        <x:v>21831203-9</x:v>
      </x:c>
      <x:c r="B15" s="37" t="str">
        <x:v>Roberto Marca Morales</x:v>
      </x:c>
      <x:c r="C15" s="37" t="str">
        <x:v>Conductor</x:v>
      </x:c>
      <x:c r="D15" s="37" t="str">
        <x:v>Cliente / Empresa</x:v>
      </x:c>
      <x:c r="E15" s="37" t="str">
        <x:v>CMDIC</x:v>
      </x:c>
      <x:c r="F15" s="37" t="str">
        <x:v>Vigente</x:v>
      </x:c>
      <x:c r="G15" s="37" t="str">
        <x:v>Importado desde planilla ULOG</x:v>
      </x:c>
    </x:row>
    <x:row r="16">
      <x:c r="A16" s="37" t="str">
        <x:v>18712792-0</x:v>
      </x:c>
      <x:c r="B16" s="37" t="str">
        <x:v>Sebastian Alexis Navarro Gilberto</x:v>
      </x:c>
      <x:c r="C16" s="37" t="str">
        <x:v>Conductor</x:v>
      </x:c>
      <x:c r="D16" s="37" t="str">
        <x:v>Cliente / Empresa</x:v>
      </x:c>
      <x:c r="E16" s="37" t="str">
        <x:v>CMDIC</x:v>
      </x:c>
      <x:c r="F16" s="37" t="str">
        <x:v>Vigente</x:v>
      </x:c>
      <x:c r="G16" s="37" t="str">
        <x:v>Importado desde planilla ULOG</x:v>
      </x:c>
    </x:row>
    <x:row r="17">
      <x:c r="A17" s="37" t="str">
        <x:v>11180306-4</x:v>
      </x:c>
      <x:c r="B17" s="37" t="str">
        <x:v>Ivo Dinko Ugrinovic Ardiles</x:v>
      </x:c>
      <x:c r="C17" s="37" t="str">
        <x:v>Conductor</x:v>
      </x:c>
      <x:c r="D17" s="37" t="str">
        <x:v>Cliente / Empresa</x:v>
      </x:c>
      <x:c r="E17" s="37" t="str">
        <x:v>CMDIC</x:v>
      </x:c>
      <x:c r="F17" s="37" t="str">
        <x:v>Vigente</x:v>
      </x:c>
      <x:c r="G17" s="37" t="str">
        <x:v>Importado desde planilla ULOG</x:v>
      </x:c>
    </x:row>
    <x:row r="18">
      <x:c r="A18" s="37" t="str">
        <x:v>13011123-8</x:v>
      </x:c>
      <x:c r="B18" s="37" t="str">
        <x:v>Pedro Igor Cruz Briceño</x:v>
      </x:c>
      <x:c r="C18" s="37" t="str">
        <x:v>Conductor</x:v>
      </x:c>
      <x:c r="D18" s="37" t="str">
        <x:v>Cliente / Empresa</x:v>
      </x:c>
      <x:c r="E18" s="37" t="str">
        <x:v>CMDIC</x:v>
      </x:c>
      <x:c r="F18" s="37" t="str">
        <x:v>Vigente</x:v>
      </x:c>
      <x:c r="G18" s="37" t="str">
        <x:v>Importado desde planilla ULOG</x:v>
      </x:c>
    </x:row>
    <x:row r="19">
      <x:c r="A19" s="37" t="str">
        <x:v>15097830-0</x:v>
      </x:c>
      <x:c r="B19" s="37" t="str">
        <x:v>Roberto Daniel Olivares Leon</x:v>
      </x:c>
      <x:c r="C19" s="37" t="str">
        <x:v>Conductor</x:v>
      </x:c>
      <x:c r="D19" s="37" t="str">
        <x:v>Cliente / Empresa</x:v>
      </x:c>
      <x:c r="E19" s="37" t="str">
        <x:v>CMDIC</x:v>
      </x:c>
      <x:c r="F19" s="37" t="str">
        <x:v>Vigente</x:v>
      </x:c>
      <x:c r="G19" s="37" t="str">
        <x:v>Importado desde planilla ULOG</x:v>
      </x:c>
    </x:row>
    <x:row r="20">
      <x:c r="A20" s="37" t="str">
        <x:v>6678996-8</x:v>
      </x:c>
      <x:c r="B20" s="37" t="str">
        <x:v>Nelson Eugenio Salazar Lefián</x:v>
      </x:c>
      <x:c r="C20" s="37" t="str">
        <x:v>Conductor</x:v>
      </x:c>
      <x:c r="D20" s="37" t="str">
        <x:v>Cliente / Empresa</x:v>
      </x:c>
      <x:c r="E20" s="37" t="str">
        <x:v>CMDIC</x:v>
      </x:c>
      <x:c r="F20" s="37" t="str">
        <x:v>Vigente</x:v>
      </x:c>
      <x:c r="G20" s="37" t="str">
        <x:v>Importado desde planilla ULOG</x:v>
      </x:c>
    </x:row>
  </x:sheetData>
  <x:conditionalFormatting sqref="F2:F1000">
    <x:cfRule type="expression" dxfId="0" priority="1">
      <x:formula>OR(A1="Vencido",A1="Observado")</x:formula>
    </x:cfRule>
    <x:cfRule type="expression" dxfId="1" priority="2">
      <x:formula>OR(A1="Por vencer",A1="En proceso",A1="Pendiente")</x:formula>
    </x:cfRule>
    <x:cfRule type="expression" dxfId="2" priority="3">
      <x:formula>OR(A1="Vigente",A1="Acreditado",A1="Aprobado",A1="Si")</x:formula>
    </x:cfRule>
  </x:conditionalFormatting>
  <x:dataValidations count="2">
    <x:dataValidation type="list" sqref="F2:F1000">
      <x:formula1>Listas!$A$2:$A$8</x:formula1>
    </x:dataValidation>
    <x:dataValidation type="list" sqref="E2:E1000">
      <x:formula1>Listas!$A$12:$A$14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eec13638064ec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41" t="str">
        <x:v>RUT</x:v>
      </x:c>
      <x:c r="B1" s="41" t="str">
        <x:v>Nombre</x:v>
      </x:c>
      <x:c r="C1" s="41" t="str">
        <x:v>Tipo Contrato</x:v>
      </x:c>
      <x:c r="D1" s="45" t="str">
        <x:v>Inicio</x:v>
      </x:c>
      <x:c r="E1" s="45" t="str">
        <x:v>Vencimiento</x:v>
      </x:c>
      <x:c r="F1" s="41" t="str">
        <x:v>Estado</x:v>
      </x:c>
      <x:c r="G1" s="41" t="str">
        <x:v>Observación</x:v>
      </x:c>
    </x:row>
    <x:row r="2">
      <x:c r="A2" s="37" t="str">
        <x:v>10845123-8</x:v>
      </x:c>
      <x:c r="B2" s="37" t="str">
        <x:v>Alberto Andres Zegarra Perez</x:v>
      </x:c>
      <x:c r="C2" s="37" t="str">
        <x:v>Indefinido</x:v>
      </x:c>
      <x:c r="D2" s="37" t="n">
        <x:v>46023</x:v>
      </x:c>
      <x:c r="E2" s="37"/>
      <x:c r="F2" s="37" t="str">
        <x:v>Vigente</x:v>
      </x:c>
      <x:c r="G2" s="37" t="str">
        <x:v>Carga inicial</x:v>
      </x:c>
    </x:row>
    <x:row r="3">
      <x:c r="A3" s="37" t="str">
        <x:v>23866138-2</x:v>
      </x:c>
      <x:c r="B3" s="37" t="str">
        <x:v>Celso Roddy Gonzales Condori</x:v>
      </x:c>
      <x:c r="C3" s="37" t="str">
        <x:v>Indefinido</x:v>
      </x:c>
      <x:c r="D3" s="37" t="n">
        <x:v>46023</x:v>
      </x:c>
      <x:c r="E3" s="37"/>
      <x:c r="F3" s="37" t="str">
        <x:v>Vigente</x:v>
      </x:c>
      <x:c r="G3" s="37" t="str">
        <x:v>Carga inicial</x:v>
      </x:c>
    </x:row>
    <x:row r="4">
      <x:c r="A4" s="37" t="str">
        <x:v>15924826-7</x:v>
      </x:c>
      <x:c r="B4" s="37" t="str">
        <x:v>Francisco Guillermo Villanueva Pizarro</x:v>
      </x:c>
      <x:c r="C4" s="37" t="str">
        <x:v>Indefinido</x:v>
      </x:c>
      <x:c r="D4" s="37" t="n">
        <x:v>46023</x:v>
      </x:c>
      <x:c r="E4" s="37"/>
      <x:c r="F4" s="37" t="str">
        <x:v>Vigente</x:v>
      </x:c>
      <x:c r="G4" s="37" t="str">
        <x:v>Carga inicial</x:v>
      </x:c>
    </x:row>
    <x:row r="5">
      <x:c r="A5" s="37" t="str">
        <x:v>18717101-6</x:v>
      </x:c>
      <x:c r="B5" s="37" t="str">
        <x:v>José Miguel Fuentes Concha</x:v>
      </x:c>
      <x:c r="C5" s="37" t="str">
        <x:v>Indefinido</x:v>
      </x:c>
      <x:c r="D5" s="37" t="n">
        <x:v>46023</x:v>
      </x:c>
      <x:c r="E5" s="37"/>
      <x:c r="F5" s="37" t="str">
        <x:v>Vigente</x:v>
      </x:c>
      <x:c r="G5" s="37" t="str">
        <x:v>Carga inicial</x:v>
      </x:c>
    </x:row>
    <x:row r="6">
      <x:c r="A6" s="37" t="str">
        <x:v>19178839-7</x:v>
      </x:c>
      <x:c r="B6" s="37" t="str">
        <x:v>Marco Antonio Canaviri Canaviri</x:v>
      </x:c>
      <x:c r="C6" s="37" t="str">
        <x:v>Indefinido</x:v>
      </x:c>
      <x:c r="D6" s="37" t="n">
        <x:v>46023</x:v>
      </x:c>
      <x:c r="E6" s="37"/>
      <x:c r="F6" s="37" t="str">
        <x:v>Vigente</x:v>
      </x:c>
      <x:c r="G6" s="37" t="str">
        <x:v>Carga inicial</x:v>
      </x:c>
    </x:row>
    <x:row r="7">
      <x:c r="A7" s="37" t="str">
        <x:v>8597461-0</x:v>
      </x:c>
      <x:c r="B7" s="37" t="str">
        <x:v>Natalio Edgardo Chacon Torres</x:v>
      </x:c>
      <x:c r="C7" s="37" t="str">
        <x:v>Indefinido</x:v>
      </x:c>
      <x:c r="D7" s="37" t="n">
        <x:v>46023</x:v>
      </x:c>
      <x:c r="E7" s="37"/>
      <x:c r="F7" s="37" t="str">
        <x:v>Vigente</x:v>
      </x:c>
      <x:c r="G7" s="37" t="str">
        <x:v>Carga inicial</x:v>
      </x:c>
    </x:row>
    <x:row r="8">
      <x:c r="A8" s="37" t="str">
        <x:v>8555303-8</x:v>
      </x:c>
      <x:c r="B8" s="37" t="str">
        <x:v>Pedro Enrique Arancibia Cartagena</x:v>
      </x:c>
      <x:c r="C8" s="37" t="str">
        <x:v>Indefinido</x:v>
      </x:c>
      <x:c r="D8" s="37" t="n">
        <x:v>46023</x:v>
      </x:c>
      <x:c r="E8" s="37"/>
      <x:c r="F8" s="37" t="str">
        <x:v>Vigente</x:v>
      </x:c>
      <x:c r="G8" s="37" t="str">
        <x:v>Carga inicial</x:v>
      </x:c>
    </x:row>
    <x:row r="9">
      <x:c r="A9" s="37" t="str">
        <x:v>18519313-6</x:v>
      </x:c>
      <x:c r="B9" s="37" t="str">
        <x:v>Rodrigo Hernan Rumillanca Cayo</x:v>
      </x:c>
      <x:c r="C9" s="37" t="str">
        <x:v>Indefinido</x:v>
      </x:c>
      <x:c r="D9" s="37" t="n">
        <x:v>46023</x:v>
      </x:c>
      <x:c r="E9" s="37"/>
      <x:c r="F9" s="37" t="str">
        <x:v>Vigente</x:v>
      </x:c>
      <x:c r="G9" s="37" t="str">
        <x:v>Carga inicial</x:v>
      </x:c>
    </x:row>
    <x:row r="10">
      <x:c r="A10" s="37" t="str">
        <x:v>12618882-K</x:v>
      </x:c>
      <x:c r="B10" s="37" t="str">
        <x:v>Rodrigo Adimir Alcayaga Tapia</x:v>
      </x:c>
      <x:c r="C10" s="37" t="str">
        <x:v>Indefinido</x:v>
      </x:c>
      <x:c r="D10" s="37" t="n">
        <x:v>46023</x:v>
      </x:c>
      <x:c r="E10" s="37"/>
      <x:c r="F10" s="37" t="str">
        <x:v>Vigente</x:v>
      </x:c>
      <x:c r="G10" s="37" t="str">
        <x:v>Carga inicial</x:v>
      </x:c>
    </x:row>
    <x:row r="11">
      <x:c r="A11" s="37" t="str">
        <x:v>23847413-2</x:v>
      </x:c>
      <x:c r="B11" s="37" t="str">
        <x:v>Ruben Mamani Aro</x:v>
      </x:c>
      <x:c r="C11" s="37" t="str">
        <x:v>Indefinido</x:v>
      </x:c>
      <x:c r="D11" s="37" t="n">
        <x:v>46023</x:v>
      </x:c>
      <x:c r="E11" s="37"/>
      <x:c r="F11" s="37" t="str">
        <x:v>Vigente</x:v>
      </x:c>
      <x:c r="G11" s="37" t="str">
        <x:v>Carga inicial</x:v>
      </x:c>
    </x:row>
    <x:row r="12">
      <x:c r="A12" s="37" t="str">
        <x:v>16965579-0</x:v>
      </x:c>
      <x:c r="B12" s="37" t="str">
        <x:v>Milton Erik Perez Paredes</x:v>
      </x:c>
      <x:c r="C12" s="37" t="str">
        <x:v>Indefinido</x:v>
      </x:c>
      <x:c r="D12" s="37" t="n">
        <x:v>46023</x:v>
      </x:c>
      <x:c r="E12" s="37"/>
      <x:c r="F12" s="37" t="str">
        <x:v>Vigente</x:v>
      </x:c>
      <x:c r="G12" s="37" t="str">
        <x:v>Carga inicial</x:v>
      </x:c>
    </x:row>
    <x:row r="13">
      <x:c r="A13" s="37" t="str">
        <x:v>15686649-0</x:v>
      </x:c>
      <x:c r="B13" s="37" t="str">
        <x:v>Michael Esteban Hurtado Videla</x:v>
      </x:c>
      <x:c r="C13" s="37" t="str">
        <x:v>Indefinido</x:v>
      </x:c>
      <x:c r="D13" s="37" t="n">
        <x:v>46023</x:v>
      </x:c>
      <x:c r="E13" s="37"/>
      <x:c r="F13" s="37" t="str">
        <x:v>Vigente</x:v>
      </x:c>
      <x:c r="G13" s="37" t="str">
        <x:v>Carga inicial</x:v>
      </x:c>
    </x:row>
    <x:row r="14">
      <x:c r="A14" s="37" t="str">
        <x:v>18839145-1</x:v>
      </x:c>
      <x:c r="B14" s="37" t="str">
        <x:v>Alberto Javier Ruiz Navarro</x:v>
      </x:c>
      <x:c r="C14" s="37" t="str">
        <x:v>Indefinido</x:v>
      </x:c>
      <x:c r="D14" s="37" t="n">
        <x:v>46023</x:v>
      </x:c>
      <x:c r="E14" s="37"/>
      <x:c r="F14" s="37" t="str">
        <x:v>Vigente</x:v>
      </x:c>
      <x:c r="G14" s="37" t="str">
        <x:v>Carga inicial</x:v>
      </x:c>
    </x:row>
    <x:row r="15">
      <x:c r="A15" s="37" t="str">
        <x:v>21831203-9</x:v>
      </x:c>
      <x:c r="B15" s="37" t="str">
        <x:v>Roberto Marca Morales</x:v>
      </x:c>
      <x:c r="C15" s="37" t="str">
        <x:v>Indefinido</x:v>
      </x:c>
      <x:c r="D15" s="37" t="n">
        <x:v>46023</x:v>
      </x:c>
      <x:c r="E15" s="37"/>
      <x:c r="F15" s="37" t="str">
        <x:v>Vigente</x:v>
      </x:c>
      <x:c r="G15" s="37" t="str">
        <x:v>Carga inicial</x:v>
      </x:c>
    </x:row>
    <x:row r="16">
      <x:c r="A16" s="37" t="str">
        <x:v>18712792-0</x:v>
      </x:c>
      <x:c r="B16" s="37" t="str">
        <x:v>Sebastian Alexis Navarro Gilberto</x:v>
      </x:c>
      <x:c r="C16" s="37" t="str">
        <x:v>Indefinido</x:v>
      </x:c>
      <x:c r="D16" s="37" t="n">
        <x:v>46023</x:v>
      </x:c>
      <x:c r="E16" s="37"/>
      <x:c r="F16" s="37" t="str">
        <x:v>Vigente</x:v>
      </x:c>
      <x:c r="G16" s="37" t="str">
        <x:v>Carga inicial</x:v>
      </x:c>
    </x:row>
    <x:row r="17">
      <x:c r="A17" s="37" t="str">
        <x:v>11180306-4</x:v>
      </x:c>
      <x:c r="B17" s="37" t="str">
        <x:v>Ivo Dinko Ugrinovic Ardiles</x:v>
      </x:c>
      <x:c r="C17" s="37" t="str">
        <x:v>Indefinido</x:v>
      </x:c>
      <x:c r="D17" s="37" t="n">
        <x:v>46023</x:v>
      </x:c>
      <x:c r="E17" s="37"/>
      <x:c r="F17" s="37" t="str">
        <x:v>Vigente</x:v>
      </x:c>
      <x:c r="G17" s="37" t="str">
        <x:v>Carga inicial</x:v>
      </x:c>
    </x:row>
    <x:row r="18">
      <x:c r="A18" s="37" t="str">
        <x:v>13011123-8</x:v>
      </x:c>
      <x:c r="B18" s="37" t="str">
        <x:v>Pedro Igor Cruz Briceño</x:v>
      </x:c>
      <x:c r="C18" s="37" t="str">
        <x:v>Indefinido</x:v>
      </x:c>
      <x:c r="D18" s="37" t="n">
        <x:v>46023</x:v>
      </x:c>
      <x:c r="E18" s="37"/>
      <x:c r="F18" s="37" t="str">
        <x:v>Vigente</x:v>
      </x:c>
      <x:c r="G18" s="37" t="str">
        <x:v>Carga inicial</x:v>
      </x:c>
    </x:row>
    <x:row r="19">
      <x:c r="A19" s="37" t="str">
        <x:v>15097830-0</x:v>
      </x:c>
      <x:c r="B19" s="37" t="str">
        <x:v>Roberto Daniel Olivares Leon</x:v>
      </x:c>
      <x:c r="C19" s="37" t="str">
        <x:v>Indefinido</x:v>
      </x:c>
      <x:c r="D19" s="37" t="n">
        <x:v>46023</x:v>
      </x:c>
      <x:c r="E19" s="37"/>
      <x:c r="F19" s="37" t="str">
        <x:v>Vigente</x:v>
      </x:c>
      <x:c r="G19" s="37" t="str">
        <x:v>Carga inicial</x:v>
      </x:c>
    </x:row>
    <x:row r="20">
      <x:c r="A20" s="37" t="str">
        <x:v>6678996-8</x:v>
      </x:c>
      <x:c r="B20" s="37" t="str">
        <x:v>Nelson Eugenio Salazar Lefián</x:v>
      </x:c>
      <x:c r="C20" s="37" t="str">
        <x:v>Indefinido</x:v>
      </x:c>
      <x:c r="D20" s="37" t="n">
        <x:v>46023</x:v>
      </x:c>
      <x:c r="E20" s="37"/>
      <x:c r="F20" s="37" t="str">
        <x:v>Vigente</x:v>
      </x:c>
      <x:c r="G20" s="37" t="str">
        <x:v>Carga inicial</x:v>
      </x:c>
    </x:row>
  </x:sheetData>
  <x:conditionalFormatting sqref="F2:F1000">
    <x:cfRule type="expression" dxfId="3" priority="1">
      <x:formula>OR(A1="Vencido",A1="Observado")</x:formula>
    </x:cfRule>
    <x:cfRule type="expression" dxfId="4" priority="2">
      <x:formula>OR(A1="Por vencer",A1="En proceso",A1="Pendiente")</x:formula>
    </x:cfRule>
    <x:cfRule type="expression" dxfId="5" priority="3">
      <x:formula>OR(A1="Vigente",A1="Acreditado",A1="Aprobado",A1="Si")</x:formula>
    </x:cfRule>
  </x:conditionalFormatting>
  <x:dataValidations count="2">
    <x:dataValidation type="list" sqref="F2:F1000">
      <x:formula1>Listas!$A$2:$A$8</x:formula1>
    </x:dataValidation>
    <x:dataValidation type="list" sqref="C2:C1000">
      <x:formula1>Listas!$A$17:$A$20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5544ea11eb4b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41" t="str">
        <x:v>RUT</x:v>
      </x:c>
      <x:c r="B1" s="41" t="str">
        <x:v>Nombre</x:v>
      </x:c>
      <x:c r="C1" s="41" t="str">
        <x:v>Cargo</x:v>
      </x:c>
      <x:c r="D1" s="41" t="str">
        <x:v>Examen</x:v>
      </x:c>
      <x:c r="E1" s="41" t="str">
        <x:v>Inducción/Curso</x:v>
      </x:c>
      <x:c r="F1" s="41" t="str">
        <x:v>Estado</x:v>
      </x:c>
      <x:c r="G1" s="41" t="str">
        <x:v>Observación</x:v>
      </x:c>
    </x:row>
    <x:row r="2">
      <x:c r="A2" s="37" t="str">
        <x:v>10845123-8</x:v>
      </x:c>
      <x:c r="B2" s="37" t="str">
        <x:v>Alberto Andres Zegarra Perez</x:v>
      </x:c>
      <x:c r="C2" s="37" t="str">
        <x:v>Conductor</x:v>
      </x:c>
      <x:c r="D2" s="37" t="str">
        <x:v>Vigente</x:v>
      </x:c>
      <x:c r="E2" s="37" t="str">
        <x:v>Aprobada</x:v>
      </x:c>
      <x:c r="F2" s="37" t="str">
        <x:v>Acreditado</x:v>
      </x:c>
      <x:c r="G2" s="37" t="str">
        <x:v>Carga inicial</x:v>
      </x:c>
    </x:row>
    <x:row r="3">
      <x:c r="A3" s="37" t="str">
        <x:v>23866138-2</x:v>
      </x:c>
      <x:c r="B3" s="37" t="str">
        <x:v>Celso Roddy Gonzales Condori</x:v>
      </x:c>
      <x:c r="C3" s="37" t="str">
        <x:v>Conductor</x:v>
      </x:c>
      <x:c r="D3" s="37" t="str">
        <x:v>Vigente</x:v>
      </x:c>
      <x:c r="E3" s="37" t="str">
        <x:v>Aprobada</x:v>
      </x:c>
      <x:c r="F3" s="37" t="str">
        <x:v>Acreditado</x:v>
      </x:c>
      <x:c r="G3" s="37" t="str">
        <x:v>Carga inicial</x:v>
      </x:c>
    </x:row>
    <x:row r="4">
      <x:c r="A4" s="37" t="str">
        <x:v>15924826-7</x:v>
      </x:c>
      <x:c r="B4" s="37" t="str">
        <x:v>Francisco Guillermo Villanueva Pizarro</x:v>
      </x:c>
      <x:c r="C4" s="37" t="str">
        <x:v>Conductor</x:v>
      </x:c>
      <x:c r="D4" s="37" t="str">
        <x:v>Vigente</x:v>
      </x:c>
      <x:c r="E4" s="37" t="str">
        <x:v>Pendiente</x:v>
      </x:c>
      <x:c r="F4" s="37" t="str">
        <x:v>Observado</x:v>
      </x:c>
      <x:c r="G4" s="37" t="str">
        <x:v>Carga inicial</x:v>
      </x:c>
    </x:row>
    <x:row r="5">
      <x:c r="A5" s="37" t="str">
        <x:v>18717101-6</x:v>
      </x:c>
      <x:c r="B5" s="37" t="str">
        <x:v>José Miguel Fuentes Concha</x:v>
      </x:c>
      <x:c r="C5" s="37" t="str">
        <x:v>Conductor</x:v>
      </x:c>
      <x:c r="D5" s="37" t="str">
        <x:v>Vigente</x:v>
      </x:c>
      <x:c r="E5" s="37" t="str">
        <x:v>Aprobada</x:v>
      </x:c>
      <x:c r="F5" s="37" t="str">
        <x:v>Acreditado</x:v>
      </x:c>
      <x:c r="G5" s="37" t="str">
        <x:v>Carga inicial</x:v>
      </x:c>
    </x:row>
    <x:row r="6">
      <x:c r="A6" s="37" t="str">
        <x:v>19178839-7</x:v>
      </x:c>
      <x:c r="B6" s="37" t="str">
        <x:v>Marco Antonio Canaviri Canaviri</x:v>
      </x:c>
      <x:c r="C6" s="37" t="str">
        <x:v>Conductor</x:v>
      </x:c>
      <x:c r="D6" s="37" t="str">
        <x:v>Vigente</x:v>
      </x:c>
      <x:c r="E6" s="37" t="str">
        <x:v>Aprobada</x:v>
      </x:c>
      <x:c r="F6" s="37" t="str">
        <x:v>Acreditado</x:v>
      </x:c>
      <x:c r="G6" s="37" t="str">
        <x:v>Carga inicial</x:v>
      </x:c>
    </x:row>
    <x:row r="7">
      <x:c r="A7" s="37" t="str">
        <x:v>8597461-0</x:v>
      </x:c>
      <x:c r="B7" s="37" t="str">
        <x:v>Natalio Edgardo Chacon Torres</x:v>
      </x:c>
      <x:c r="C7" s="37" t="str">
        <x:v>Conductor</x:v>
      </x:c>
      <x:c r="D7" s="37" t="str">
        <x:v>Vigente</x:v>
      </x:c>
      <x:c r="E7" s="37" t="str">
        <x:v>Pendiente</x:v>
      </x:c>
      <x:c r="F7" s="37" t="str">
        <x:v>Observado</x:v>
      </x:c>
      <x:c r="G7" s="37" t="str">
        <x:v>Carga inicial</x:v>
      </x:c>
    </x:row>
    <x:row r="8">
      <x:c r="A8" s="37" t="str">
        <x:v>8555303-8</x:v>
      </x:c>
      <x:c r="B8" s="37" t="str">
        <x:v>Pedro Enrique Arancibia Cartagena</x:v>
      </x:c>
      <x:c r="C8" s="37" t="str">
        <x:v>Conductor</x:v>
      </x:c>
      <x:c r="D8" s="37" t="str">
        <x:v>Vigente</x:v>
      </x:c>
      <x:c r="E8" s="37" t="str">
        <x:v>Aprobada</x:v>
      </x:c>
      <x:c r="F8" s="37" t="str">
        <x:v>Acreditado</x:v>
      </x:c>
      <x:c r="G8" s="37" t="str">
        <x:v>Carga inicial</x:v>
      </x:c>
    </x:row>
    <x:row r="9">
      <x:c r="A9" s="37" t="str">
        <x:v>18519313-6</x:v>
      </x:c>
      <x:c r="B9" s="37" t="str">
        <x:v>Rodrigo Hernan Rumillanca Cayo</x:v>
      </x:c>
      <x:c r="C9" s="37" t="str">
        <x:v>Conductor</x:v>
      </x:c>
      <x:c r="D9" s="37" t="str">
        <x:v>Vigente</x:v>
      </x:c>
      <x:c r="E9" s="37" t="str">
        <x:v>Aprobada</x:v>
      </x:c>
      <x:c r="F9" s="37" t="str">
        <x:v>Acreditado</x:v>
      </x:c>
      <x:c r="G9" s="37" t="str">
        <x:v>Carga inicial</x:v>
      </x:c>
    </x:row>
    <x:row r="10">
      <x:c r="A10" s="37" t="str">
        <x:v>12618882-K</x:v>
      </x:c>
      <x:c r="B10" s="37" t="str">
        <x:v>Rodrigo Adimir Alcayaga Tapia</x:v>
      </x:c>
      <x:c r="C10" s="37" t="str">
        <x:v>Conductor</x:v>
      </x:c>
      <x:c r="D10" s="37" t="str">
        <x:v>Vigente</x:v>
      </x:c>
      <x:c r="E10" s="37" t="str">
        <x:v>Pendiente</x:v>
      </x:c>
      <x:c r="F10" s="37" t="str">
        <x:v>Observado</x:v>
      </x:c>
      <x:c r="G10" s="37" t="str">
        <x:v>Carga inicial</x:v>
      </x:c>
    </x:row>
    <x:row r="11">
      <x:c r="A11" s="37" t="str">
        <x:v>23847413-2</x:v>
      </x:c>
      <x:c r="B11" s="37" t="str">
        <x:v>Ruben Mamani Aro</x:v>
      </x:c>
      <x:c r="C11" s="37" t="str">
        <x:v>Conductor</x:v>
      </x:c>
      <x:c r="D11" s="37" t="str">
        <x:v>Vigente</x:v>
      </x:c>
      <x:c r="E11" s="37" t="str">
        <x:v>Aprobada</x:v>
      </x:c>
      <x:c r="F11" s="37" t="str">
        <x:v>Acreditado</x:v>
      </x:c>
      <x:c r="G11" s="37" t="str">
        <x:v>Carga inicial</x:v>
      </x:c>
    </x:row>
    <x:row r="12">
      <x:c r="A12" s="37" t="str">
        <x:v>16965579-0</x:v>
      </x:c>
      <x:c r="B12" s="37" t="str">
        <x:v>Milton Erik Perez Paredes</x:v>
      </x:c>
      <x:c r="C12" s="37" t="str">
        <x:v>Conductor</x:v>
      </x:c>
      <x:c r="D12" s="37" t="str">
        <x:v>Vigente</x:v>
      </x:c>
      <x:c r="E12" s="37" t="str">
        <x:v>Aprobada</x:v>
      </x:c>
      <x:c r="F12" s="37" t="str">
        <x:v>Acreditado</x:v>
      </x:c>
      <x:c r="G12" s="37" t="str">
        <x:v>Carga inicial</x:v>
      </x:c>
    </x:row>
    <x:row r="13">
      <x:c r="A13" s="37" t="str">
        <x:v>15686649-0</x:v>
      </x:c>
      <x:c r="B13" s="37" t="str">
        <x:v>Michael Esteban Hurtado Videla</x:v>
      </x:c>
      <x:c r="C13" s="37" t="str">
        <x:v>Conductor</x:v>
      </x:c>
      <x:c r="D13" s="37" t="str">
        <x:v>Vigente</x:v>
      </x:c>
      <x:c r="E13" s="37" t="str">
        <x:v>Pendiente</x:v>
      </x:c>
      <x:c r="F13" s="37" t="str">
        <x:v>Observado</x:v>
      </x:c>
      <x:c r="G13" s="37" t="str">
        <x:v>Carga inicial</x:v>
      </x:c>
    </x:row>
    <x:row r="14">
      <x:c r="A14" s="37" t="str">
        <x:v>18839145-1</x:v>
      </x:c>
      <x:c r="B14" s="37" t="str">
        <x:v>Alberto Javier Ruiz Navarro</x:v>
      </x:c>
      <x:c r="C14" s="37" t="str">
        <x:v>Conductor</x:v>
      </x:c>
      <x:c r="D14" s="37" t="str">
        <x:v>Vigente</x:v>
      </x:c>
      <x:c r="E14" s="37" t="str">
        <x:v>Aprobada</x:v>
      </x:c>
      <x:c r="F14" s="37" t="str">
        <x:v>Acreditado</x:v>
      </x:c>
      <x:c r="G14" s="37" t="str">
        <x:v>Carga inicial</x:v>
      </x:c>
    </x:row>
    <x:row r="15">
      <x:c r="A15" s="37" t="str">
        <x:v>21831203-9</x:v>
      </x:c>
      <x:c r="B15" s="37" t="str">
        <x:v>Roberto Marca Morales</x:v>
      </x:c>
      <x:c r="C15" s="37" t="str">
        <x:v>Conductor</x:v>
      </x:c>
      <x:c r="D15" s="37" t="str">
        <x:v>Vigente</x:v>
      </x:c>
      <x:c r="E15" s="37" t="str">
        <x:v>Aprobada</x:v>
      </x:c>
      <x:c r="F15" s="37" t="str">
        <x:v>Acreditado</x:v>
      </x:c>
      <x:c r="G15" s="37" t="str">
        <x:v>Carga inicial</x:v>
      </x:c>
    </x:row>
    <x:row r="16">
      <x:c r="A16" s="37" t="str">
        <x:v>18712792-0</x:v>
      </x:c>
      <x:c r="B16" s="37" t="str">
        <x:v>Sebastian Alexis Navarro Gilberto</x:v>
      </x:c>
      <x:c r="C16" s="37" t="str">
        <x:v>Conductor</x:v>
      </x:c>
      <x:c r="D16" s="37" t="str">
        <x:v>Vigente</x:v>
      </x:c>
      <x:c r="E16" s="37" t="str">
        <x:v>Pendiente</x:v>
      </x:c>
      <x:c r="F16" s="37" t="str">
        <x:v>Observado</x:v>
      </x:c>
      <x:c r="G16" s="37" t="str">
        <x:v>Carga inicial</x:v>
      </x:c>
    </x:row>
    <x:row r="17">
      <x:c r="A17" s="37" t="str">
        <x:v>11180306-4</x:v>
      </x:c>
      <x:c r="B17" s="37" t="str">
        <x:v>Ivo Dinko Ugrinovic Ardiles</x:v>
      </x:c>
      <x:c r="C17" s="37" t="str">
        <x:v>Conductor</x:v>
      </x:c>
      <x:c r="D17" s="37" t="str">
        <x:v>Vigente</x:v>
      </x:c>
      <x:c r="E17" s="37" t="str">
        <x:v>Aprobada</x:v>
      </x:c>
      <x:c r="F17" s="37" t="str">
        <x:v>Acreditado</x:v>
      </x:c>
      <x:c r="G17" s="37" t="str">
        <x:v>Carga inicial</x:v>
      </x:c>
    </x:row>
    <x:row r="18">
      <x:c r="A18" s="37" t="str">
        <x:v>13011123-8</x:v>
      </x:c>
      <x:c r="B18" s="37" t="str">
        <x:v>Pedro Igor Cruz Briceño</x:v>
      </x:c>
      <x:c r="C18" s="37" t="str">
        <x:v>Conductor</x:v>
      </x:c>
      <x:c r="D18" s="37" t="str">
        <x:v>Vigente</x:v>
      </x:c>
      <x:c r="E18" s="37" t="str">
        <x:v>Aprobada</x:v>
      </x:c>
      <x:c r="F18" s="37" t="str">
        <x:v>Acreditado</x:v>
      </x:c>
      <x:c r="G18" s="37" t="str">
        <x:v>Carga inicial</x:v>
      </x:c>
    </x:row>
    <x:row r="19">
      <x:c r="A19" s="37" t="str">
        <x:v>15097830-0</x:v>
      </x:c>
      <x:c r="B19" s="37" t="str">
        <x:v>Roberto Daniel Olivares Leon</x:v>
      </x:c>
      <x:c r="C19" s="37" t="str">
        <x:v>Conductor</x:v>
      </x:c>
      <x:c r="D19" s="37" t="str">
        <x:v>Vigente</x:v>
      </x:c>
      <x:c r="E19" s="37" t="str">
        <x:v>Pendiente</x:v>
      </x:c>
      <x:c r="F19" s="37" t="str">
        <x:v>Observado</x:v>
      </x:c>
      <x:c r="G19" s="37" t="str">
        <x:v>Carga inicial</x:v>
      </x:c>
    </x:row>
    <x:row r="20">
      <x:c r="A20" s="37" t="str">
        <x:v>6678996-8</x:v>
      </x:c>
      <x:c r="B20" s="37" t="str">
        <x:v>Nelson Eugenio Salazar Lefián</x:v>
      </x:c>
      <x:c r="C20" s="37" t="str">
        <x:v>Conductor</x:v>
      </x:c>
      <x:c r="D20" s="37" t="str">
        <x:v>Vigente</x:v>
      </x:c>
      <x:c r="E20" s="37" t="str">
        <x:v>Aprobada</x:v>
      </x:c>
      <x:c r="F20" s="37" t="str">
        <x:v>Acreditado</x:v>
      </x:c>
      <x:c r="G20" s="37" t="str">
        <x:v>Carga inicial</x:v>
      </x:c>
    </x:row>
  </x:sheetData>
  <x:conditionalFormatting sqref="D2:F1000">
    <x:cfRule type="expression" dxfId="6" priority="1">
      <x:formula>OR(A1="Vencido",A1="Observado")</x:formula>
    </x:cfRule>
    <x:cfRule type="expression" dxfId="7" priority="2">
      <x:formula>OR(A1="Por vencer",A1="En proceso",A1="Pendiente")</x:formula>
    </x:cfRule>
    <x:cfRule type="expression" dxfId="8" priority="3">
      <x:formula>OR(A1="Vigente",A1="Acreditado",A1="Aprobado",A1="Si")</x:formula>
    </x:cfRule>
  </x:conditionalFormatting>
  <x:dataValidations count="1">
    <x:dataValidation type="list" sqref="F2:F1000">
      <x:formula1>Listas!$A$2:$A$8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50ab1e131b4cd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41" t="str">
        <x:v>RUT</x:v>
      </x:c>
      <x:c r="B1" s="41" t="str">
        <x:v>Nombre</x:v>
      </x:c>
      <x:c r="C1" s="41" t="str">
        <x:v>Cargo</x:v>
      </x:c>
      <x:c r="D1" s="41" t="str">
        <x:v>Examen</x:v>
      </x:c>
      <x:c r="E1" s="41" t="str">
        <x:v>Inducción/Curso</x:v>
      </x:c>
      <x:c r="F1" s="41" t="str">
        <x:v>Estado</x:v>
      </x:c>
      <x:c r="G1" s="41" t="str">
        <x:v>Observación</x:v>
      </x:c>
    </x:row>
    <x:row r="2">
      <x:c r="A2" s="37" t="str">
        <x:v>10845123-8</x:v>
      </x:c>
      <x:c r="B2" s="37" t="str">
        <x:v>Alberto Andres Zegarra Perez</x:v>
      </x:c>
      <x:c r="C2" s="37" t="str">
        <x:v>Conductor</x:v>
      </x:c>
      <x:c r="D2" s="37" t="str">
        <x:v>Vigente</x:v>
      </x:c>
      <x:c r="E2" s="37" t="str">
        <x:v>Aprobada</x:v>
      </x:c>
      <x:c r="F2" s="37" t="str">
        <x:v>Acreditado</x:v>
      </x:c>
      <x:c r="G2" s="37" t="str">
        <x:v>Carga inicial</x:v>
      </x:c>
    </x:row>
    <x:row r="3">
      <x:c r="A3" s="37" t="str">
        <x:v>23866138-2</x:v>
      </x:c>
      <x:c r="B3" s="37" t="str">
        <x:v>Celso Roddy Gonzales Condori</x:v>
      </x:c>
      <x:c r="C3" s="37" t="str">
        <x:v>Conductor</x:v>
      </x:c>
      <x:c r="D3" s="37" t="str">
        <x:v>Vigente</x:v>
      </x:c>
      <x:c r="E3" s="37" t="str">
        <x:v>Aprobada</x:v>
      </x:c>
      <x:c r="F3" s="37" t="str">
        <x:v>Acreditado</x:v>
      </x:c>
      <x:c r="G3" s="37" t="str">
        <x:v>Carga inicial</x:v>
      </x:c>
    </x:row>
    <x:row r="4">
      <x:c r="A4" s="37" t="str">
        <x:v>15924826-7</x:v>
      </x:c>
      <x:c r="B4" s="37" t="str">
        <x:v>Francisco Guillermo Villanueva Pizarro</x:v>
      </x:c>
      <x:c r="C4" s="37" t="str">
        <x:v>Conductor</x:v>
      </x:c>
      <x:c r="D4" s="37" t="str">
        <x:v>Vigente</x:v>
      </x:c>
      <x:c r="E4" s="37" t="str">
        <x:v>Pendiente</x:v>
      </x:c>
      <x:c r="F4" s="37" t="str">
        <x:v>Observado</x:v>
      </x:c>
      <x:c r="G4" s="37" t="str">
        <x:v>Carga inicial</x:v>
      </x:c>
    </x:row>
    <x:row r="5">
      <x:c r="A5" s="37" t="str">
        <x:v>18717101-6</x:v>
      </x:c>
      <x:c r="B5" s="37" t="str">
        <x:v>José Miguel Fuentes Concha</x:v>
      </x:c>
      <x:c r="C5" s="37" t="str">
        <x:v>Conductor</x:v>
      </x:c>
      <x:c r="D5" s="37" t="str">
        <x:v>Vigente</x:v>
      </x:c>
      <x:c r="E5" s="37" t="str">
        <x:v>Aprobada</x:v>
      </x:c>
      <x:c r="F5" s="37" t="str">
        <x:v>Acreditado</x:v>
      </x:c>
      <x:c r="G5" s="37" t="str">
        <x:v>Carga inicial</x:v>
      </x:c>
    </x:row>
    <x:row r="6">
      <x:c r="A6" s="37" t="str">
        <x:v>19178839-7</x:v>
      </x:c>
      <x:c r="B6" s="37" t="str">
        <x:v>Marco Antonio Canaviri Canaviri</x:v>
      </x:c>
      <x:c r="C6" s="37" t="str">
        <x:v>Conductor</x:v>
      </x:c>
      <x:c r="D6" s="37" t="str">
        <x:v>Vigente</x:v>
      </x:c>
      <x:c r="E6" s="37" t="str">
        <x:v>Aprobada</x:v>
      </x:c>
      <x:c r="F6" s="37" t="str">
        <x:v>Acreditado</x:v>
      </x:c>
      <x:c r="G6" s="37" t="str">
        <x:v>Carga inicial</x:v>
      </x:c>
    </x:row>
    <x:row r="7">
      <x:c r="A7" s="37" t="str">
        <x:v>8597461-0</x:v>
      </x:c>
      <x:c r="B7" s="37" t="str">
        <x:v>Natalio Edgardo Chacon Torres</x:v>
      </x:c>
      <x:c r="C7" s="37" t="str">
        <x:v>Conductor</x:v>
      </x:c>
      <x:c r="D7" s="37" t="str">
        <x:v>Vigente</x:v>
      </x:c>
      <x:c r="E7" s="37" t="str">
        <x:v>Pendiente</x:v>
      </x:c>
      <x:c r="F7" s="37" t="str">
        <x:v>Observado</x:v>
      </x:c>
      <x:c r="G7" s="37" t="str">
        <x:v>Carga inicial</x:v>
      </x:c>
    </x:row>
    <x:row r="8">
      <x:c r="A8" s="37" t="str">
        <x:v>8555303-8</x:v>
      </x:c>
      <x:c r="B8" s="37" t="str">
        <x:v>Pedro Enrique Arancibia Cartagena</x:v>
      </x:c>
      <x:c r="C8" s="37" t="str">
        <x:v>Conductor</x:v>
      </x:c>
      <x:c r="D8" s="37" t="str">
        <x:v>Vigente</x:v>
      </x:c>
      <x:c r="E8" s="37" t="str">
        <x:v>Aprobada</x:v>
      </x:c>
      <x:c r="F8" s="37" t="str">
        <x:v>Acreditado</x:v>
      </x:c>
      <x:c r="G8" s="37" t="str">
        <x:v>Carga inicial</x:v>
      </x:c>
    </x:row>
    <x:row r="9">
      <x:c r="A9" s="37" t="str">
        <x:v>18519313-6</x:v>
      </x:c>
      <x:c r="B9" s="37" t="str">
        <x:v>Rodrigo Hernan Rumillanca Cayo</x:v>
      </x:c>
      <x:c r="C9" s="37" t="str">
        <x:v>Conductor</x:v>
      </x:c>
      <x:c r="D9" s="37" t="str">
        <x:v>Vigente</x:v>
      </x:c>
      <x:c r="E9" s="37" t="str">
        <x:v>Aprobada</x:v>
      </x:c>
      <x:c r="F9" s="37" t="str">
        <x:v>Acreditado</x:v>
      </x:c>
      <x:c r="G9" s="37" t="str">
        <x:v>Carga inicial</x:v>
      </x:c>
    </x:row>
    <x:row r="10">
      <x:c r="A10" s="37" t="str">
        <x:v>12618882-K</x:v>
      </x:c>
      <x:c r="B10" s="37" t="str">
        <x:v>Rodrigo Adimir Alcayaga Tapia</x:v>
      </x:c>
      <x:c r="C10" s="37" t="str">
        <x:v>Conductor</x:v>
      </x:c>
      <x:c r="D10" s="37" t="str">
        <x:v>Vencido</x:v>
      </x:c>
      <x:c r="E10" s="37" t="str">
        <x:v>Pendiente</x:v>
      </x:c>
      <x:c r="F10" s="37" t="str">
        <x:v>Observado</x:v>
      </x:c>
      <x:c r="G10" s="37" t="str">
        <x:v>Carga inicial</x:v>
      </x:c>
    </x:row>
    <x:row r="11">
      <x:c r="A11" s="37" t="str">
        <x:v>23847413-2</x:v>
      </x:c>
      <x:c r="B11" s="37" t="str">
        <x:v>Ruben Mamani Aro</x:v>
      </x:c>
      <x:c r="C11" s="37" t="str">
        <x:v>Conductor</x:v>
      </x:c>
      <x:c r="D11" s="37" t="str">
        <x:v>Vigente</x:v>
      </x:c>
      <x:c r="E11" s="37" t="str">
        <x:v>Aprobada</x:v>
      </x:c>
      <x:c r="F11" s="37" t="str">
        <x:v>Acreditado</x:v>
      </x:c>
      <x:c r="G11" s="37" t="str">
        <x:v>Carga inicial</x:v>
      </x:c>
    </x:row>
    <x:row r="12">
      <x:c r="A12" s="37" t="str">
        <x:v>16965579-0</x:v>
      </x:c>
      <x:c r="B12" s="37" t="str">
        <x:v>Milton Erik Perez Paredes</x:v>
      </x:c>
      <x:c r="C12" s="37" t="str">
        <x:v>Conductor</x:v>
      </x:c>
      <x:c r="D12" s="37" t="str">
        <x:v>Vigente</x:v>
      </x:c>
      <x:c r="E12" s="37" t="str">
        <x:v>Aprobada</x:v>
      </x:c>
      <x:c r="F12" s="37" t="str">
        <x:v>Acreditado</x:v>
      </x:c>
      <x:c r="G12" s="37" t="str">
        <x:v>Carga inicial</x:v>
      </x:c>
    </x:row>
    <x:row r="13">
      <x:c r="A13" s="37" t="str">
        <x:v>15686649-0</x:v>
      </x:c>
      <x:c r="B13" s="37" t="str">
        <x:v>Michael Esteban Hurtado Videla</x:v>
      </x:c>
      <x:c r="C13" s="37" t="str">
        <x:v>Conductor</x:v>
      </x:c>
      <x:c r="D13" s="37" t="str">
        <x:v>Vigente</x:v>
      </x:c>
      <x:c r="E13" s="37" t="str">
        <x:v>Pendiente</x:v>
      </x:c>
      <x:c r="F13" s="37" t="str">
        <x:v>Observado</x:v>
      </x:c>
      <x:c r="G13" s="37" t="str">
        <x:v>Carga inicial</x:v>
      </x:c>
    </x:row>
    <x:row r="14">
      <x:c r="A14" s="37" t="str">
        <x:v>18839145-1</x:v>
      </x:c>
      <x:c r="B14" s="37" t="str">
        <x:v>Alberto Javier Ruiz Navarro</x:v>
      </x:c>
      <x:c r="C14" s="37" t="str">
        <x:v>Conductor</x:v>
      </x:c>
      <x:c r="D14" s="37" t="str">
        <x:v>Vigente</x:v>
      </x:c>
      <x:c r="E14" s="37" t="str">
        <x:v>Aprobada</x:v>
      </x:c>
      <x:c r="F14" s="37" t="str">
        <x:v>Acreditado</x:v>
      </x:c>
      <x:c r="G14" s="37" t="str">
        <x:v>Carga inicial</x:v>
      </x:c>
    </x:row>
    <x:row r="15">
      <x:c r="A15" s="37" t="str">
        <x:v>21831203-9</x:v>
      </x:c>
      <x:c r="B15" s="37" t="str">
        <x:v>Roberto Marca Morales</x:v>
      </x:c>
      <x:c r="C15" s="37" t="str">
        <x:v>Conductor</x:v>
      </x:c>
      <x:c r="D15" s="37" t="str">
        <x:v>Vigente</x:v>
      </x:c>
      <x:c r="E15" s="37" t="str">
        <x:v>Aprobada</x:v>
      </x:c>
      <x:c r="F15" s="37" t="str">
        <x:v>Acreditado</x:v>
      </x:c>
      <x:c r="G15" s="37" t="str">
        <x:v>Carga inicial</x:v>
      </x:c>
    </x:row>
    <x:row r="16">
      <x:c r="A16" s="37" t="str">
        <x:v>18712792-0</x:v>
      </x:c>
      <x:c r="B16" s="37" t="str">
        <x:v>Sebastian Alexis Navarro Gilberto</x:v>
      </x:c>
      <x:c r="C16" s="37" t="str">
        <x:v>Conductor</x:v>
      </x:c>
      <x:c r="D16" s="37" t="str">
        <x:v>Vigente</x:v>
      </x:c>
      <x:c r="E16" s="37" t="str">
        <x:v>Pendiente</x:v>
      </x:c>
      <x:c r="F16" s="37" t="str">
        <x:v>Observado</x:v>
      </x:c>
      <x:c r="G16" s="37" t="str">
        <x:v>Carga inicial</x:v>
      </x:c>
    </x:row>
    <x:row r="17">
      <x:c r="A17" s="37" t="str">
        <x:v>11180306-4</x:v>
      </x:c>
      <x:c r="B17" s="37" t="str">
        <x:v>Ivo Dinko Ugrinovic Ardiles</x:v>
      </x:c>
      <x:c r="C17" s="37" t="str">
        <x:v>Conductor</x:v>
      </x:c>
      <x:c r="D17" s="37" t="str">
        <x:v>Vigente</x:v>
      </x:c>
      <x:c r="E17" s="37" t="str">
        <x:v>Aprobada</x:v>
      </x:c>
      <x:c r="F17" s="37" t="str">
        <x:v>Acreditado</x:v>
      </x:c>
      <x:c r="G17" s="37" t="str">
        <x:v>Carga inicial</x:v>
      </x:c>
    </x:row>
    <x:row r="18">
      <x:c r="A18" s="37" t="str">
        <x:v>13011123-8</x:v>
      </x:c>
      <x:c r="B18" s="37" t="str">
        <x:v>Pedro Igor Cruz Briceño</x:v>
      </x:c>
      <x:c r="C18" s="37" t="str">
        <x:v>Conductor</x:v>
      </x:c>
      <x:c r="D18" s="37" t="str">
        <x:v>Vigente</x:v>
      </x:c>
      <x:c r="E18" s="37" t="str">
        <x:v>Aprobada</x:v>
      </x:c>
      <x:c r="F18" s="37" t="str">
        <x:v>Acreditado</x:v>
      </x:c>
      <x:c r="G18" s="37" t="str">
        <x:v>Carga inicial</x:v>
      </x:c>
    </x:row>
    <x:row r="19">
      <x:c r="A19" s="37" t="str">
        <x:v>15097830-0</x:v>
      </x:c>
      <x:c r="B19" s="37" t="str">
        <x:v>Roberto Daniel Olivares Leon</x:v>
      </x:c>
      <x:c r="C19" s="37" t="str">
        <x:v>Conductor</x:v>
      </x:c>
      <x:c r="D19" s="37" t="str">
        <x:v>Vigente</x:v>
      </x:c>
      <x:c r="E19" s="37" t="str">
        <x:v>Pendiente</x:v>
      </x:c>
      <x:c r="F19" s="37" t="str">
        <x:v>Observado</x:v>
      </x:c>
      <x:c r="G19" s="37" t="str">
        <x:v>Carga inicial</x:v>
      </x:c>
    </x:row>
    <x:row r="20">
      <x:c r="A20" s="37" t="str">
        <x:v>6678996-8</x:v>
      </x:c>
      <x:c r="B20" s="37" t="str">
        <x:v>Nelson Eugenio Salazar Lefián</x:v>
      </x:c>
      <x:c r="C20" s="37" t="str">
        <x:v>Conductor</x:v>
      </x:c>
      <x:c r="D20" s="37" t="str">
        <x:v>Vigente</x:v>
      </x:c>
      <x:c r="E20" s="37" t="str">
        <x:v>Aprobada</x:v>
      </x:c>
      <x:c r="F20" s="37" t="str">
        <x:v>Acreditado</x:v>
      </x:c>
      <x:c r="G20" s="37" t="str">
        <x:v>Carga inicial</x:v>
      </x:c>
    </x:row>
  </x:sheetData>
  <x:conditionalFormatting sqref="D2:F1000">
    <x:cfRule type="expression" dxfId="9" priority="1">
      <x:formula>OR(A1="Vencido",A1="Observado")</x:formula>
    </x:cfRule>
    <x:cfRule type="expression" dxfId="10" priority="2">
      <x:formula>OR(A1="Por vencer",A1="En proceso",A1="Pendiente")</x:formula>
    </x:cfRule>
    <x:cfRule type="expression" dxfId="11" priority="3">
      <x:formula>OR(A1="Vigente",A1="Acreditado",A1="Aprobado",A1="Si")</x:formula>
    </x:cfRule>
  </x:conditionalFormatting>
  <x:dataValidations count="1">
    <x:dataValidation type="list" sqref="F2:F1000">
      <x:formula1>Listas!$A$2:$A$8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8bfbebe36b4d3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6" customHeight="1">
      <x:c r="A1" s="41" t="str">
        <x:v>RUT</x:v>
      </x:c>
      <x:c r="B1" s="41" t="str">
        <x:v>Nombre</x:v>
      </x:c>
      <x:c r="C1" s="41" t="str">
        <x:v>Capacitación</x:v>
      </x:c>
      <x:c r="D1" s="45" t="str">
        <x:v>Fecha</x:v>
      </x:c>
      <x:c r="E1" s="45" t="str">
        <x:v>Vigencia</x:v>
      </x:c>
      <x:c r="F1" s="41" t="str">
        <x:v>Estado</x:v>
      </x:c>
      <x:c r="G1" s="41" t="str">
        <x:v>Observación</x:v>
      </x:c>
    </x:row>
    <x:row r="2">
      <x:c r="A2" s="37" t="str">
        <x:v>10845123-8</x:v>
      </x:c>
      <x:c r="B2" s="37" t="str">
        <x:v>Alberto Andres Zegarra Perez</x:v>
      </x:c>
      <x:c r="C2" s="37" t="str">
        <x:v>Hoja de Vida / Control Documental</x:v>
      </x:c>
      <x:c r="D2" s="37" t="n">
        <x:v>46072</x:v>
      </x:c>
      <x:c r="E2" s="37" t="n">
        <x:v>46253</x:v>
      </x:c>
      <x:c r="F2" s="37" t="str">
        <x:v>Vigente</x:v>
      </x:c>
      <x:c r="G2" s="37" t="str">
        <x:v>Importado desde planilla ULOG</x:v>
      </x:c>
    </x:row>
    <x:row r="3">
      <x:c r="A3" s="37" t="str">
        <x:v>23866138-2</x:v>
      </x:c>
      <x:c r="B3" s="37" t="str">
        <x:v>Celso Roddy Gonzales Condori</x:v>
      </x:c>
      <x:c r="C3" s="37" t="str">
        <x:v>Hoja de Vida / Control Documental</x:v>
      </x:c>
      <x:c r="D3" s="37" t="n">
        <x:v>46077</x:v>
      </x:c>
      <x:c r="E3" s="37" t="n">
        <x:v>46258</x:v>
      </x:c>
      <x:c r="F3" s="37" t="str">
        <x:v>Vigente</x:v>
      </x:c>
      <x:c r="G3" s="37" t="str">
        <x:v>Importado desde planilla ULOG</x:v>
      </x:c>
    </x:row>
    <x:row r="4">
      <x:c r="A4" s="37" t="str">
        <x:v>15924826-7</x:v>
      </x:c>
      <x:c r="B4" s="37" t="str">
        <x:v>Francisco Guillermo Villanueva Pizarro</x:v>
      </x:c>
      <x:c r="C4" s="37" t="str">
        <x:v>Hoja de Vida / Control Documental</x:v>
      </x:c>
      <x:c r="D4" s="37" t="n">
        <x:v>46097</x:v>
      </x:c>
      <x:c r="E4" s="37" t="n">
        <x:v>46281</x:v>
      </x:c>
      <x:c r="F4" s="37" t="str">
        <x:v>Vigente</x:v>
      </x:c>
      <x:c r="G4" s="37" t="str">
        <x:v>Importado desde planilla ULOG</x:v>
      </x:c>
    </x:row>
    <x:row r="5">
      <x:c r="A5" s="37" t="str">
        <x:v>18717101-6</x:v>
      </x:c>
      <x:c r="B5" s="37" t="str">
        <x:v>José Miguel Fuentes Concha</x:v>
      </x:c>
      <x:c r="C5" s="37" t="str">
        <x:v>Hoja de Vida / Control Documental</x:v>
      </x:c>
      <x:c r="D5" s="37" t="n">
        <x:v>46071</x:v>
      </x:c>
      <x:c r="E5" s="37" t="n">
        <x:v>46252</x:v>
      </x:c>
      <x:c r="F5" s="37" t="str">
        <x:v>Vigente</x:v>
      </x:c>
      <x:c r="G5" s="37" t="str">
        <x:v>Importado desde planilla ULOG</x:v>
      </x:c>
    </x:row>
    <x:row r="6">
      <x:c r="A6" s="37" t="str">
        <x:v>19178839-7</x:v>
      </x:c>
      <x:c r="B6" s="37" t="str">
        <x:v>Marco Antonio Canaviri Canaviri</x:v>
      </x:c>
      <x:c r="C6" s="37" t="str">
        <x:v>Hoja de Vida / Control Documental</x:v>
      </x:c>
      <x:c r="D6" s="37" t="n">
        <x:v>46079</x:v>
      </x:c>
      <x:c r="E6" s="37" t="n">
        <x:v>46260</x:v>
      </x:c>
      <x:c r="F6" s="37" t="str">
        <x:v>Vigente</x:v>
      </x:c>
      <x:c r="G6" s="37" t="str">
        <x:v>Importado desde planilla ULOG</x:v>
      </x:c>
    </x:row>
    <x:row r="7">
      <x:c r="A7" s="37" t="str">
        <x:v>8597461-0</x:v>
      </x:c>
      <x:c r="B7" s="37" t="str">
        <x:v>Natalio Edgardo Chacon Torres</x:v>
      </x:c>
      <x:c r="C7" s="37" t="str">
        <x:v>Hoja de Vida / Control Documental</x:v>
      </x:c>
      <x:c r="D7" s="37" t="n">
        <x:v>46084</x:v>
      </x:c>
      <x:c r="E7" s="37" t="n">
        <x:v>46268</x:v>
      </x:c>
      <x:c r="F7" s="37" t="str">
        <x:v>Vigente</x:v>
      </x:c>
      <x:c r="G7" s="37" t="str">
        <x:v>Importado desde planilla ULOG</x:v>
      </x:c>
    </x:row>
    <x:row r="8">
      <x:c r="A8" s="37" t="str">
        <x:v>8555303-8</x:v>
      </x:c>
      <x:c r="B8" s="37" t="str">
        <x:v>Pedro Enrique Arancibia Cartagena</x:v>
      </x:c>
      <x:c r="C8" s="37" t="str">
        <x:v>Hoja de Vida / Control Documental</x:v>
      </x:c>
      <x:c r="D8" s="37" t="n">
        <x:v>46030</x:v>
      </x:c>
      <x:c r="E8" s="37" t="n">
        <x:v>46211</x:v>
      </x:c>
      <x:c r="F8" s="37" t="str">
        <x:v>Por vencer</x:v>
      </x:c>
      <x:c r="G8" s="37" t="str">
        <x:v>Importado desde planilla ULOG</x:v>
      </x:c>
    </x:row>
    <x:row r="9">
      <x:c r="A9" s="37" t="str">
        <x:v>18519313-6</x:v>
      </x:c>
      <x:c r="B9" s="37" t="str">
        <x:v>Rodrigo Hernan Rumillanca Cayo</x:v>
      </x:c>
      <x:c r="C9" s="37" t="str">
        <x:v>Hoja de Vida / Control Documental</x:v>
      </x:c>
      <x:c r="D9" s="37" t="n">
        <x:v>46017</x:v>
      </x:c>
      <x:c r="E9" s="37" t="n">
        <x:v>46199</x:v>
      </x:c>
      <x:c r="F9" s="37" t="str">
        <x:v>Por vencer</x:v>
      </x:c>
      <x:c r="G9" s="37" t="str">
        <x:v>Importado desde planilla ULOG</x:v>
      </x:c>
    </x:row>
    <x:row r="10">
      <x:c r="A10" s="37" t="str">
        <x:v>12618882-K</x:v>
      </x:c>
      <x:c r="B10" s="37" t="str">
        <x:v>Rodrigo Adimir Alcayaga Tapia</x:v>
      </x:c>
      <x:c r="C10" s="37" t="str">
        <x:v>Hoja de Vida / Control Documental</x:v>
      </x:c>
      <x:c r="D10" s="37" t="n">
        <x:v>46076</x:v>
      </x:c>
      <x:c r="E10" s="37" t="n">
        <x:v>46257</x:v>
      </x:c>
      <x:c r="F10" s="37" t="str">
        <x:v>Vigente</x:v>
      </x:c>
      <x:c r="G10" s="37" t="str">
        <x:v>Importado desde planilla ULOG</x:v>
      </x:c>
    </x:row>
    <x:row r="11">
      <x:c r="A11" s="37" t="str">
        <x:v>23847413-2</x:v>
      </x:c>
      <x:c r="B11" s="37" t="str">
        <x:v>Ruben Mamani Aro</x:v>
      </x:c>
      <x:c r="C11" s="37" t="str">
        <x:v>Hoja de Vida / Control Documental</x:v>
      </x:c>
      <x:c r="D11" s="37" t="n">
        <x:v>46084</x:v>
      </x:c>
      <x:c r="E11" s="37" t="n">
        <x:v>46268</x:v>
      </x:c>
      <x:c r="F11" s="37" t="str">
        <x:v>Vigente</x:v>
      </x:c>
      <x:c r="G11" s="37" t="str">
        <x:v>Importado desde planilla ULOG</x:v>
      </x:c>
    </x:row>
    <x:row r="12">
      <x:c r="A12" s="37" t="str">
        <x:v>16965579-0</x:v>
      </x:c>
      <x:c r="B12" s="37" t="str">
        <x:v>Milton Erik Perez Paredes</x:v>
      </x:c>
      <x:c r="C12" s="37" t="str">
        <x:v>Hoja de Vida / Control Documental</x:v>
      </x:c>
      <x:c r="D12" s="37" t="n">
        <x:v>46072</x:v>
      </x:c>
      <x:c r="E12" s="37" t="n">
        <x:v>46253</x:v>
      </x:c>
      <x:c r="F12" s="37" t="str">
        <x:v>Vigente</x:v>
      </x:c>
      <x:c r="G12" s="37" t="str">
        <x:v>Importado desde planilla ULOG</x:v>
      </x:c>
    </x:row>
    <x:row r="13">
      <x:c r="A13" s="37" t="str">
        <x:v>15686649-0</x:v>
      </x:c>
      <x:c r="B13" s="37" t="str">
        <x:v>Michael Esteban Hurtado Videla</x:v>
      </x:c>
      <x:c r="C13" s="37" t="str">
        <x:v>Hoja de Vida / Control Documental</x:v>
      </x:c>
      <x:c r="D13" s="37" t="n">
        <x:v>46097</x:v>
      </x:c>
      <x:c r="E13" s="37" t="n">
        <x:v>46281</x:v>
      </x:c>
      <x:c r="F13" s="37" t="str">
        <x:v>Vigente</x:v>
      </x:c>
      <x:c r="G13" s="37" t="str">
        <x:v>Importado desde planilla ULOG</x:v>
      </x:c>
    </x:row>
    <x:row r="14">
      <x:c r="A14" s="37" t="str">
        <x:v>18839145-1</x:v>
      </x:c>
      <x:c r="B14" s="37" t="str">
        <x:v>Alberto Javier Ruiz Navarro</x:v>
      </x:c>
      <x:c r="C14" s="37" t="str">
        <x:v>Hoja de Vida / Control Documental</x:v>
      </x:c>
      <x:c r="D14" s="37" t="n">
        <x:v>46077</x:v>
      </x:c>
      <x:c r="E14" s="37" t="n">
        <x:v>46258</x:v>
      </x:c>
      <x:c r="F14" s="37" t="str">
        <x:v>Vigente</x:v>
      </x:c>
      <x:c r="G14" s="37" t="str">
        <x:v>Importado desde planilla ULOG</x:v>
      </x:c>
    </x:row>
    <x:row r="15">
      <x:c r="A15" s="37" t="str">
        <x:v>21831203-9</x:v>
      </x:c>
      <x:c r="B15" s="37" t="str">
        <x:v>Roberto Marca Morales</x:v>
      </x:c>
      <x:c r="C15" s="37" t="str">
        <x:v>Hoja de Vida / Control Documental</x:v>
      </x:c>
      <x:c r="D15" s="37" t="n">
        <x:v>46084</x:v>
      </x:c>
      <x:c r="E15" s="37" t="n">
        <x:v>46268</x:v>
      </x:c>
      <x:c r="F15" s="37" t="str">
        <x:v>Vigente</x:v>
      </x:c>
      <x:c r="G15" s="37" t="str">
        <x:v>Importado desde planilla ULOG</x:v>
      </x:c>
    </x:row>
    <x:row r="16">
      <x:c r="A16" s="37" t="str">
        <x:v>18712792-0</x:v>
      </x:c>
      <x:c r="B16" s="37" t="str">
        <x:v>Sebastian Alexis Navarro Gilberto</x:v>
      </x:c>
      <x:c r="C16" s="37" t="str">
        <x:v>Hoja de Vida / Control Documental</x:v>
      </x:c>
      <x:c r="D16" s="37" t="n">
        <x:v>46076</x:v>
      </x:c>
      <x:c r="E16" s="37" t="n">
        <x:v>46257</x:v>
      </x:c>
      <x:c r="F16" s="37" t="str">
        <x:v>Vigente</x:v>
      </x:c>
      <x:c r="G16" s="37" t="str">
        <x:v>Importado desde planilla ULOG</x:v>
      </x:c>
    </x:row>
    <x:row r="17">
      <x:c r="A17" s="37" t="str">
        <x:v>11180306-4</x:v>
      </x:c>
      <x:c r="B17" s="37" t="str">
        <x:v>Ivo Dinko Ugrinovic Ardiles</x:v>
      </x:c>
      <x:c r="C17" s="37" t="str">
        <x:v>Hoja de Vida / Control Documental</x:v>
      </x:c>
      <x:c r="D17" s="37" t="n">
        <x:v>46147</x:v>
      </x:c>
      <x:c r="E17" s="37" t="n">
        <x:v>46300</x:v>
      </x:c>
      <x:c r="F17" s="37" t="str">
        <x:v>Vigente</x:v>
      </x:c>
      <x:c r="G17" s="37" t="str">
        <x:v>Importado desde planilla ULOG</x:v>
      </x:c>
    </x:row>
    <x:row r="18">
      <x:c r="A18" s="37" t="str">
        <x:v>13011123-8</x:v>
      </x:c>
      <x:c r="B18" s="37" t="str">
        <x:v>Pedro Igor Cruz Briceño</x:v>
      </x:c>
      <x:c r="C18" s="37" t="str">
        <x:v>Hoja de Vida / Control Documental</x:v>
      </x:c>
      <x:c r="D18" s="37" t="n">
        <x:v>46038</x:v>
      </x:c>
      <x:c r="E18" s="37" t="n">
        <x:v>46219</x:v>
      </x:c>
      <x:c r="F18" s="37" t="str">
        <x:v>Vigente</x:v>
      </x:c>
      <x:c r="G18" s="37" t="str">
        <x:v>Importado desde planilla ULOG</x:v>
      </x:c>
    </x:row>
    <x:row r="19">
      <x:c r="A19" s="37" t="str">
        <x:v>15097830-0</x:v>
      </x:c>
      <x:c r="B19" s="37" t="str">
        <x:v>Roberto Daniel Olivares Leon</x:v>
      </x:c>
      <x:c r="C19" s="37" t="str">
        <x:v>Hoja de Vida / Control Documental</x:v>
      </x:c>
      <x:c r="D19" s="37" t="n">
        <x:v>46030</x:v>
      </x:c>
      <x:c r="E19" s="37" t="n">
        <x:v>46211</x:v>
      </x:c>
      <x:c r="F19" s="37" t="str">
        <x:v>Por vencer</x:v>
      </x:c>
      <x:c r="G19" s="37" t="str">
        <x:v>Importado desde planilla ULOG</x:v>
      </x:c>
    </x:row>
    <x:row r="20">
      <x:c r="A20" s="37" t="str">
        <x:v>6678996-8</x:v>
      </x:c>
      <x:c r="B20" s="37" t="str">
        <x:v>Nelson Eugenio Salazar Lefián</x:v>
      </x:c>
      <x:c r="C20" s="37" t="str">
        <x:v>Hoja de Vida / Control Documental</x:v>
      </x:c>
      <x:c r="D20" s="37" t="n">
        <x:v>46077</x:v>
      </x:c>
      <x:c r="E20" s="37" t="n">
        <x:v>46258</x:v>
      </x:c>
      <x:c r="F20" s="37" t="str">
        <x:v>Vigente</x:v>
      </x:c>
      <x:c r="G20" s="37" t="str">
        <x:v>Importado desde planilla ULOG</x:v>
      </x:c>
    </x:row>
  </x:sheetData>
  <x:conditionalFormatting sqref="F2:F1000">
    <x:cfRule type="expression" dxfId="12" priority="1">
      <x:formula>OR(A1="Vencido",A1="Observado")</x:formula>
    </x:cfRule>
    <x:cfRule type="expression" dxfId="13" priority="2">
      <x:formula>OR(A1="Por vencer",A1="En proceso",A1="Pendiente")</x:formula>
    </x:cfRule>
    <x:cfRule type="expression" dxfId="14" priority="3">
      <x:formula>OR(A1="Vigente",A1="Acreditado",A1="Aprobado",A1="Si")</x:formula>
    </x:cfRule>
  </x:conditionalFormatting>
  <x:dataValidations count="1">
    <x:dataValidation type="list" sqref="F2:F1000">
      <x:formula1>Listas!$A$2:$A$8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9cdb17cc06479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7.400000095367432" hidden="0" customWidth="1"/>
    <x:col min="9" max="9" width="8.479999542236328" hidden="0" customWidth="1"/>
    <x:col min="10" max="10" width="14.9399995803833" hidden="0" customWidth="1"/>
  </x:cols>
  <x:sheetData>
    <x:row r="1" ht="26" customHeight="1">
      <x:c r="A1" s="41" t="str">
        <x:v>PPU</x:v>
      </x:c>
      <x:c r="B1" s="41" t="str">
        <x:v>Tipo Equipo</x:v>
      </x:c>
      <x:c r="C1" s="41" t="str">
        <x:v>Empresa/Cliente</x:v>
      </x:c>
      <x:c r="D1" s="41" t="str">
        <x:v>Revisión Técnica</x:v>
      </x:c>
      <x:c r="E1" s="41" t="str">
        <x:v>Emisión Gases</x:v>
      </x:c>
      <x:c r="F1" s="41" t="str">
        <x:v>Permiso Circulación</x:v>
      </x:c>
      <x:c r="G1" s="41" t="str">
        <x:v>SOAP</x:v>
      </x:c>
      <x:c r="H1" s="41" t="str">
        <x:v>Póliza</x:v>
      </x:c>
      <x:c r="I1" s="41" t="str">
        <x:v>Padrón</x:v>
      </x:c>
      <x:c r="J1" s="41" t="str">
        <x:v>Estado General</x:v>
      </x:c>
    </x:row>
    <x:row r="2">
      <x:c r="A2" s="37" t="str">
        <x:v>RLHF-41</x:v>
      </x:c>
      <x:c r="B2" s="37" t="str">
        <x:v>Tracto Camion</x:v>
      </x:c>
      <x:c r="C2" s="37" t="str">
        <x:v>Antuquito S.A</x:v>
      </x:c>
      <x:c r="D2" s="37" t="str">
        <x:v>Vigente</x:v>
      </x:c>
      <x:c r="E2" s="37" t="str">
        <x:v>Vigente</x:v>
      </x:c>
      <x:c r="F2" s="37" t="str">
        <x:v>Vigente</x:v>
      </x:c>
      <x:c r="G2" s="37" t="str">
        <x:v>Vigente</x:v>
      </x:c>
      <x:c r="H2" s="37" t="str">
        <x:v>Vigente</x:v>
      </x:c>
      <x:c r="I2" s="37" t="str">
        <x:v>Si</x:v>
      </x:c>
      <x:c r="J2" s="37" t="str">
        <x:v>Vigente</x:v>
      </x:c>
    </x:row>
    <x:row r="3">
      <x:c r="A3" s="37" t="str">
        <x:v>PHXX-69</x:v>
      </x:c>
      <x:c r="B3" s="37" t="str">
        <x:v>Tracto Camion</x:v>
      </x:c>
      <x:c r="C3" s="37" t="str">
        <x:v>Transporte San Antonio</x:v>
      </x:c>
      <x:c r="D3" s="37" t="str">
        <x:v>Vigente</x:v>
      </x:c>
      <x:c r="E3" s="37" t="str">
        <x:v>Vigente</x:v>
      </x:c>
      <x:c r="F3" s="37" t="str">
        <x:v>Vigente</x:v>
      </x:c>
      <x:c r="G3" s="37" t="str">
        <x:v>Vigente</x:v>
      </x:c>
      <x:c r="H3" s="37" t="str">
        <x:v>Vigente</x:v>
      </x:c>
      <x:c r="I3" s="37" t="str">
        <x:v>Si</x:v>
      </x:c>
      <x:c r="J3" s="37" t="str">
        <x:v>Vigente</x:v>
      </x:c>
    </x:row>
    <x:row r="4">
      <x:c r="A4" s="37" t="str">
        <x:v>KSSZ-28</x:v>
      </x:c>
      <x:c r="B4" s="37" t="str">
        <x:v>Tracto Camion</x:v>
      </x:c>
      <x:c r="C4" s="37" t="str">
        <x:v>Transporte San Antonio</x:v>
      </x:c>
      <x:c r="D4" s="37" t="str">
        <x:v>Vigente</x:v>
      </x:c>
      <x:c r="E4" s="37" t="str">
        <x:v>Vigente</x:v>
      </x:c>
      <x:c r="F4" s="37" t="str">
        <x:v>Vigente</x:v>
      </x:c>
      <x:c r="G4" s="37" t="str">
        <x:v>Vigente</x:v>
      </x:c>
      <x:c r="H4" s="37" t="str">
        <x:v>Vigente</x:v>
      </x:c>
      <x:c r="I4" s="37" t="str">
        <x:v>Si</x:v>
      </x:c>
      <x:c r="J4" s="37" t="str">
        <x:v>Vigente</x:v>
      </x:c>
    </x:row>
    <x:row r="5">
      <x:c r="A5" s="37" t="str">
        <x:v>PHXX70</x:v>
      </x:c>
      <x:c r="B5" s="37" t="str">
        <x:v>Tracto Camion</x:v>
      </x:c>
      <x:c r="C5" s="37" t="str">
        <x:v>Transporte San Antonio</x:v>
      </x:c>
      <x:c r="D5" s="37" t="str">
        <x:v>Vigente</x:v>
      </x:c>
      <x:c r="E5" s="37" t="str">
        <x:v>Vigente</x:v>
      </x:c>
      <x:c r="F5" s="37" t="str">
        <x:v>Vigente</x:v>
      </x:c>
      <x:c r="G5" s="37" t="str">
        <x:v>Vigente</x:v>
      </x:c>
      <x:c r="H5" s="37" t="str">
        <x:v>Vigente</x:v>
      </x:c>
      <x:c r="I5" s="37" t="str">
        <x:v>Si</x:v>
      </x:c>
      <x:c r="J5" s="37" t="str">
        <x:v>Vigente</x:v>
      </x:c>
    </x:row>
    <x:row r="6">
      <x:c r="A6" s="37" t="str">
        <x:v>HDPX-71</x:v>
      </x:c>
      <x:c r="B6" s="37" t="str">
        <x:v>Tracto Camion</x:v>
      </x:c>
      <x:c r="C6" s="37" t="str">
        <x:v>Transporte San Antonio</x:v>
      </x:c>
      <x:c r="D6" s="37" t="str">
        <x:v>Vigente</x:v>
      </x:c>
      <x:c r="E6" s="37" t="str">
        <x:v>Vigente</x:v>
      </x:c>
      <x:c r="F6" s="37" t="str">
        <x:v>Vigente</x:v>
      </x:c>
      <x:c r="G6" s="37" t="str">
        <x:v>Vigente</x:v>
      </x:c>
      <x:c r="H6" s="37" t="str">
        <x:v>Vigente</x:v>
      </x:c>
      <x:c r="I6" s="37" t="str">
        <x:v>Si</x:v>
      </x:c>
      <x:c r="J6" s="37" t="str">
        <x:v>Vigente</x:v>
      </x:c>
    </x:row>
    <x:row r="7">
      <x:c r="A7" s="37" t="str">
        <x:v>DPWP-13</x:v>
      </x:c>
      <x:c r="B7" s="37" t="str">
        <x:v>Tracto Camion</x:v>
      </x:c>
      <x:c r="C7" s="37" t="str">
        <x:v>Transporte San Antonio</x:v>
      </x:c>
      <x:c r="D7" s="37" t="str">
        <x:v>Vencido</x:v>
      </x:c>
      <x:c r="E7" s="37" t="str">
        <x:v>Vencido</x:v>
      </x:c>
      <x:c r="F7" s="37" t="str">
        <x:v>Vigente</x:v>
      </x:c>
      <x:c r="G7" s="37" t="str">
        <x:v>Vigente</x:v>
      </x:c>
      <x:c r="H7" s="37" t="str">
        <x:v>Vigente</x:v>
      </x:c>
      <x:c r="I7" s="37" t="str">
        <x:v>Si</x:v>
      </x:c>
      <x:c r="J7" s="37" t="str">
        <x:v>Observado</x:v>
      </x:c>
    </x:row>
    <x:row r="8">
      <x:c r="A8" s="37" t="str">
        <x:v>HYFL-36</x:v>
      </x:c>
      <x:c r="B8" s="37" t="str">
        <x:v>Tracto Camion</x:v>
      </x:c>
      <x:c r="C8" s="37" t="str">
        <x:v>Antuquito S.A</x:v>
      </x:c>
      <x:c r="D8" s="37" t="str">
        <x:v>Vigente</x:v>
      </x:c>
      <x:c r="E8" s="37" t="str">
        <x:v>Vigente</x:v>
      </x:c>
      <x:c r="F8" s="37" t="str">
        <x:v>Vigente</x:v>
      </x:c>
      <x:c r="G8" s="37" t="str">
        <x:v>Vigente</x:v>
      </x:c>
      <x:c r="H8" s="37" t="str">
        <x:v>Vigente</x:v>
      </x:c>
      <x:c r="I8" s="37" t="str">
        <x:v>Si</x:v>
      </x:c>
      <x:c r="J8" s="37" t="str">
        <x:v>Vigente</x:v>
      </x:c>
    </x:row>
    <x:row r="9">
      <x:c r="A9" s="37" t="str">
        <x:v>PKLC-82</x:v>
      </x:c>
      <x:c r="B9" s="37" t="str">
        <x:v>Tracto Camion</x:v>
      </x:c>
      <x:c r="C9" s="37" t="str">
        <x:v>Transporte San Antonio</x:v>
      </x:c>
      <x:c r="D9" s="37" t="str">
        <x:v>Vigente</x:v>
      </x:c>
      <x:c r="E9" s="37" t="str">
        <x:v>Vigente</x:v>
      </x:c>
      <x:c r="F9" s="37" t="str">
        <x:v>Vigente</x:v>
      </x:c>
      <x:c r="G9" s="37" t="str">
        <x:v>Vigente</x:v>
      </x:c>
      <x:c r="H9" s="37" t="str">
        <x:v>Vigente</x:v>
      </x:c>
      <x:c r="I9" s="37" t="str">
        <x:v>Si</x:v>
      </x:c>
      <x:c r="J9" s="37" t="str">
        <x:v>Vigente</x:v>
      </x:c>
    </x:row>
    <x:row r="10">
      <x:c r="A10" s="37" t="str">
        <x:v>LBTG-88</x:v>
      </x:c>
      <x:c r="B10" s="37" t="str">
        <x:v>Tracto Camion</x:v>
      </x:c>
      <x:c r="C10" s="37" t="str">
        <x:v>Transporte San Antonio</x:v>
      </x:c>
      <x:c r="D10" s="37" t="str">
        <x:v>Vigente</x:v>
      </x:c>
      <x:c r="E10" s="37" t="str">
        <x:v>Vigente</x:v>
      </x:c>
      <x:c r="F10" s="37" t="str">
        <x:v>Vigente</x:v>
      </x:c>
      <x:c r="G10" s="37" t="str">
        <x:v>Vigente</x:v>
      </x:c>
      <x:c r="H10" s="37" t="str">
        <x:v>Vigente</x:v>
      </x:c>
      <x:c r="I10" s="37" t="str">
        <x:v>Si</x:v>
      </x:c>
      <x:c r="J10" s="37" t="str">
        <x:v>Vigente</x:v>
      </x:c>
    </x:row>
    <x:row r="11">
      <x:c r="A11" s="37" t="str">
        <x:v>LGLL-38</x:v>
      </x:c>
      <x:c r="B11" s="37" t="str">
        <x:v>Tracto Camion</x:v>
      </x:c>
      <x:c r="C11" s="37" t="str">
        <x:v>Transporte San Antonio</x:v>
      </x:c>
      <x:c r="D11" s="37" t="str">
        <x:v>Vigente</x:v>
      </x:c>
      <x:c r="E11" s="37" t="str">
        <x:v>Vigente</x:v>
      </x:c>
      <x:c r="F11" s="37" t="str">
        <x:v>Vigente</x:v>
      </x:c>
      <x:c r="G11" s="37" t="str">
        <x:v>Vigente</x:v>
      </x:c>
      <x:c r="H11" s="37" t="str">
        <x:v>Vigente</x:v>
      </x:c>
      <x:c r="I11" s="37" t="str">
        <x:v>Si</x:v>
      </x:c>
      <x:c r="J11" s="37" t="str">
        <x:v>Vigente</x:v>
      </x:c>
    </x:row>
    <x:row r="12">
      <x:c r="A12" s="37" t="str">
        <x:v>FYFB-42</x:v>
      </x:c>
      <x:c r="B12" s="37" t="str">
        <x:v>Tracto Camion</x:v>
      </x:c>
      <x:c r="C12" s="37" t="str">
        <x:v>Transporte San Antonio</x:v>
      </x:c>
      <x:c r="D12" s="37" t="str">
        <x:v>Vigente</x:v>
      </x:c>
      <x:c r="E12" s="37" t="str">
        <x:v>Vigente</x:v>
      </x:c>
      <x:c r="F12" s="37" t="str">
        <x:v>Vigente</x:v>
      </x:c>
      <x:c r="G12" s="37" t="str">
        <x:v>Vigente</x:v>
      </x:c>
      <x:c r="H12" s="37" t="str">
        <x:v>Vigente</x:v>
      </x:c>
      <x:c r="I12" s="37" t="str">
        <x:v>Si</x:v>
      </x:c>
      <x:c r="J12" s="37" t="str">
        <x:v>Vigente</x:v>
      </x:c>
    </x:row>
    <x:row r="13">
      <x:c r="A13" s="37" t="str">
        <x:v>KBXD-37</x:v>
      </x:c>
      <x:c r="B13" s="37" t="str">
        <x:v>Tracto Camion</x:v>
      </x:c>
      <x:c r="C13" s="37" t="str">
        <x:v>Transporte San Antonio</x:v>
      </x:c>
      <x:c r="D13" s="37" t="str">
        <x:v>Vigente</x:v>
      </x:c>
      <x:c r="E13" s="37" t="str">
        <x:v>Vigente</x:v>
      </x:c>
      <x:c r="F13" s="37" t="str">
        <x:v>Vigente</x:v>
      </x:c>
      <x:c r="G13" s="37" t="str">
        <x:v>Vigente</x:v>
      </x:c>
      <x:c r="H13" s="37" t="str">
        <x:v>Vigente</x:v>
      </x:c>
      <x:c r="I13" s="37" t="str">
        <x:v>Si</x:v>
      </x:c>
      <x:c r="J13" s="37" t="str">
        <x:v>Vigente</x:v>
      </x:c>
    </x:row>
    <x:row r="14">
      <x:c r="A14" s="37" t="str">
        <x:v>HKFS-59</x:v>
      </x:c>
      <x:c r="B14" s="37" t="str">
        <x:v>Tracto Camion</x:v>
      </x:c>
      <x:c r="C14" s="37" t="str">
        <x:v>Transporte San Antonio</x:v>
      </x:c>
      <x:c r="D14" s="37" t="str">
        <x:v>Vigente</x:v>
      </x:c>
      <x:c r="E14" s="37" t="str">
        <x:v>Vigente</x:v>
      </x:c>
      <x:c r="F14" s="37" t="str">
        <x:v>Vigente</x:v>
      </x:c>
      <x:c r="G14" s="37" t="str">
        <x:v>Vigente</x:v>
      </x:c>
      <x:c r="H14" s="37" t="str">
        <x:v>Vigente</x:v>
      </x:c>
      <x:c r="I14" s="37" t="str">
        <x:v>Si</x:v>
      </x:c>
      <x:c r="J14" s="37" t="str">
        <x:v>Vigente</x:v>
      </x:c>
    </x:row>
    <x:row r="15">
      <x:c r="A15" s="37" t="str">
        <x:v>DHVR-80</x:v>
      </x:c>
      <x:c r="B15" s="37" t="str">
        <x:v>Tracto Camion</x:v>
      </x:c>
      <x:c r="C15" s="37" t="str">
        <x:v>Transporte San Antonio</x:v>
      </x:c>
      <x:c r="D15" s="37" t="str">
        <x:v>Vigente</x:v>
      </x:c>
      <x:c r="E15" s="37" t="str">
        <x:v>Vigente</x:v>
      </x:c>
      <x:c r="F15" s="37" t="str">
        <x:v>Vigente</x:v>
      </x:c>
      <x:c r="G15" s="37" t="str">
        <x:v>Vigente</x:v>
      </x:c>
      <x:c r="H15" s="37" t="str">
        <x:v>Vigente</x:v>
      </x:c>
      <x:c r="I15" s="37" t="str">
        <x:v>Si</x:v>
      </x:c>
      <x:c r="J15" s="37" t="str">
        <x:v>Vigente</x:v>
      </x:c>
    </x:row>
    <x:row r="16">
      <x:c r="A16" s="37" t="str">
        <x:v>KSZV-45</x:v>
      </x:c>
      <x:c r="B16" s="37" t="str">
        <x:v>Tracto Camion</x:v>
      </x:c>
      <x:c r="C16" s="37" t="str">
        <x:v>Antuquito S.A</x:v>
      </x:c>
      <x:c r="D16" s="37" t="str">
        <x:v>Vigente</x:v>
      </x:c>
      <x:c r="E16" s="37" t="str">
        <x:v>Vigente</x:v>
      </x:c>
      <x:c r="F16" s="37" t="str">
        <x:v>Vigente</x:v>
      </x:c>
      <x:c r="G16" s="37" t="str">
        <x:v>Vigente</x:v>
      </x:c>
      <x:c r="H16" s="37" t="str">
        <x:v>Vigente</x:v>
      </x:c>
      <x:c r="I16" s="37" t="str">
        <x:v>Si</x:v>
      </x:c>
      <x:c r="J16" s="37" t="str">
        <x:v>Vigente</x:v>
      </x:c>
    </x:row>
    <x:row r="17">
      <x:c r="A17" s="37" t="str">
        <x:v>PKLC-62</x:v>
      </x:c>
      <x:c r="B17" s="37" t="str">
        <x:v>Tracto Camion</x:v>
      </x:c>
      <x:c r="C17" s="37" t="str">
        <x:v>Transporte San Antonio</x:v>
      </x:c>
      <x:c r="D17" s="37" t="str">
        <x:v>Por vencer</x:v>
      </x:c>
      <x:c r="E17" s="37" t="str">
        <x:v>Por vencer</x:v>
      </x:c>
      <x:c r="F17" s="37" t="str">
        <x:v>Vigente</x:v>
      </x:c>
      <x:c r="G17" s="37" t="str">
        <x:v>Vigente</x:v>
      </x:c>
      <x:c r="H17" s="37" t="str">
        <x:v>Vigente</x:v>
      </x:c>
      <x:c r="I17" s="37" t="str">
        <x:v>Si</x:v>
      </x:c>
      <x:c r="J17" s="37" t="str">
        <x:v>Observado</x:v>
      </x:c>
    </x:row>
    <x:row r="18">
      <x:c r="A18" s="37" t="str">
        <x:v>SXKY-73</x:v>
      </x:c>
      <x:c r="B18" s="37" t="str">
        <x:v>Tracto Camion</x:v>
      </x:c>
      <x:c r="C18" s="37" t="str">
        <x:v>Transporte San Antonio</x:v>
      </x:c>
      <x:c r="D18" s="37" t="str">
        <x:v>Vigente</x:v>
      </x:c>
      <x:c r="E18" s="37" t="str">
        <x:v>Vigente</x:v>
      </x:c>
      <x:c r="F18" s="37" t="str">
        <x:v>Vigente</x:v>
      </x:c>
      <x:c r="G18" s="37" t="str">
        <x:v>Vigente</x:v>
      </x:c>
      <x:c r="H18" s="37" t="str">
        <x:v>Vigente</x:v>
      </x:c>
      <x:c r="I18" s="37" t="str">
        <x:v>Si</x:v>
      </x:c>
      <x:c r="J18" s="37" t="str">
        <x:v>Vigente</x:v>
      </x:c>
    </x:row>
    <x:row r="19">
      <x:c r="A19" s="37" t="str">
        <x:v>RLHF-42</x:v>
      </x:c>
      <x:c r="B19" s="37" t="str">
        <x:v>Tracto Camion</x:v>
      </x:c>
      <x:c r="C19" s="37" t="str">
        <x:v>Transporte San Antonio</x:v>
      </x:c>
      <x:c r="D19" s="37" t="str">
        <x:v>Vigente</x:v>
      </x:c>
      <x:c r="E19" s="37" t="str">
        <x:v>Vigente</x:v>
      </x:c>
      <x:c r="F19" s="37" t="str">
        <x:v>Vigente</x:v>
      </x:c>
      <x:c r="G19" s="37" t="str">
        <x:v>Vigente</x:v>
      </x:c>
      <x:c r="H19" s="37" t="str">
        <x:v>Vigente</x:v>
      </x:c>
      <x:c r="I19" s="37" t="str">
        <x:v>Si</x:v>
      </x:c>
      <x:c r="J19" s="37" t="str">
        <x:v>Vigente</x:v>
      </x:c>
    </x:row>
    <x:row r="20">
      <x:c r="A20" s="37" t="str">
        <x:v>KTYX-37</x:v>
      </x:c>
      <x:c r="B20" s="37" t="str">
        <x:v>Tracto Camion</x:v>
      </x:c>
      <x:c r="C20" s="37" t="str">
        <x:v>Transporte San Antonio</x:v>
      </x:c>
      <x:c r="D20" s="37" t="str">
        <x:v>Vigente</x:v>
      </x:c>
      <x:c r="E20" s="37" t="str">
        <x:v>Vigente</x:v>
      </x:c>
      <x:c r="F20" s="37" t="str">
        <x:v>Vigente</x:v>
      </x:c>
      <x:c r="G20" s="37" t="str">
        <x:v>Vigente</x:v>
      </x:c>
      <x:c r="H20" s="37" t="str">
        <x:v>Vigente</x:v>
      </x:c>
      <x:c r="I20" s="37" t="str">
        <x:v>Si</x:v>
      </x:c>
      <x:c r="J20" s="37" t="str">
        <x:v>Vigente</x:v>
      </x:c>
    </x:row>
    <x:row r="21">
      <x:c r="A21" s="37" t="str">
        <x:v>HGLV-31</x:v>
      </x:c>
      <x:c r="B21" s="37" t="str">
        <x:v>Semirremolque</x:v>
      </x:c>
      <x:c r="C21" s="37" t="str">
        <x:v>Transporte San Antonio</x:v>
      </x:c>
      <x:c r="D21" s="37" t="str">
        <x:v>Vigente</x:v>
      </x:c>
      <x:c r="E21" s="37" t="str">
        <x:v>Vencido</x:v>
      </x:c>
      <x:c r="F21" s="37" t="str">
        <x:v>Vigente</x:v>
      </x:c>
      <x:c r="G21" s="37" t="str">
        <x:v>Vigente</x:v>
      </x:c>
      <x:c r="H21" s="37" t="str">
        <x:v>Vigente</x:v>
      </x:c>
      <x:c r="I21" s="37" t="str">
        <x:v>Si</x:v>
      </x:c>
      <x:c r="J21" s="37" t="str">
        <x:v>Observado</x:v>
      </x:c>
    </x:row>
    <x:row r="22">
      <x:c r="A22" s="37" t="str">
        <x:v>JF-8858</x:v>
      </x:c>
      <x:c r="B22" s="37" t="str">
        <x:v>Semirremolque</x:v>
      </x:c>
      <x:c r="C22" s="37" t="str">
        <x:v>Antuquito S.A</x:v>
      </x:c>
      <x:c r="D22" s="37" t="str">
        <x:v>Vigente</x:v>
      </x:c>
      <x:c r="E22" s="37" t="str">
        <x:v>Vencido</x:v>
      </x:c>
      <x:c r="F22" s="37" t="str">
        <x:v>Vigente</x:v>
      </x:c>
      <x:c r="G22" s="37" t="str">
        <x:v>Vigente</x:v>
      </x:c>
      <x:c r="H22" s="37" t="str">
        <x:v>Vigente</x:v>
      </x:c>
      <x:c r="I22" s="37" t="str">
        <x:v>Si</x:v>
      </x:c>
      <x:c r="J22" s="37" t="str">
        <x:v>Observado</x:v>
      </x:c>
    </x:row>
    <x:row r="23">
      <x:c r="A23" s="37" t="str">
        <x:v>JP-4919</x:v>
      </x:c>
      <x:c r="B23" s="37" t="str">
        <x:v>Semirremolque</x:v>
      </x:c>
      <x:c r="C23" s="37" t="str">
        <x:v>Antuquito S.A</x:v>
      </x:c>
      <x:c r="D23" s="37" t="str">
        <x:v>Vigente</x:v>
      </x:c>
      <x:c r="E23" s="37" t="str">
        <x:v>Vencido</x:v>
      </x:c>
      <x:c r="F23" s="37" t="str">
        <x:v>Vigente</x:v>
      </x:c>
      <x:c r="G23" s="37" t="str">
        <x:v>Vigente</x:v>
      </x:c>
      <x:c r="H23" s="37" t="str">
        <x:v>Vigente</x:v>
      </x:c>
      <x:c r="I23" s="37" t="str">
        <x:v>Si</x:v>
      </x:c>
      <x:c r="J23" s="37" t="str">
        <x:v>Observado</x:v>
      </x:c>
    </x:row>
    <x:row r="24">
      <x:c r="A24" s="37" t="str">
        <x:v>PWWP-53</x:v>
      </x:c>
      <x:c r="B24" s="37" t="str">
        <x:v>Semirremolque</x:v>
      </x:c>
      <x:c r="C24" s="37" t="str">
        <x:v>Transporte San Antonio</x:v>
      </x:c>
      <x:c r="D24" s="37" t="str">
        <x:v>Vigente</x:v>
      </x:c>
      <x:c r="E24" s="37" t="str">
        <x:v>Vencido</x:v>
      </x:c>
      <x:c r="F24" s="37" t="str">
        <x:v>Vigente</x:v>
      </x:c>
      <x:c r="G24" s="37" t="str">
        <x:v>Vigente</x:v>
      </x:c>
      <x:c r="H24" s="37" t="str">
        <x:v>Vigente</x:v>
      </x:c>
      <x:c r="I24" s="37" t="str">
        <x:v>Si</x:v>
      </x:c>
      <x:c r="J24" s="37" t="str">
        <x:v>Observado</x:v>
      </x:c>
    </x:row>
    <x:row r="25">
      <x:c r="A25" s="37" t="str">
        <x:v>PWWP-54</x:v>
      </x:c>
      <x:c r="B25" s="37" t="str">
        <x:v>Semirremolque</x:v>
      </x:c>
      <x:c r="C25" s="37" t="str">
        <x:v>Antuquito S.A</x:v>
      </x:c>
      <x:c r="D25" s="37" t="str">
        <x:v>Vigente</x:v>
      </x:c>
      <x:c r="E25" s="37" t="str">
        <x:v>Vencido</x:v>
      </x:c>
      <x:c r="F25" s="37" t="str">
        <x:v>Vigente</x:v>
      </x:c>
      <x:c r="G25" s="37" t="str">
        <x:v>Vigente</x:v>
      </x:c>
      <x:c r="H25" s="37" t="str">
        <x:v>Vigente</x:v>
      </x:c>
      <x:c r="I25" s="37" t="str">
        <x:v>Si</x:v>
      </x:c>
      <x:c r="J25" s="37" t="str">
        <x:v>Observado</x:v>
      </x:c>
    </x:row>
    <x:row r="26">
      <x:c r="A26" s="37" t="str">
        <x:v>SGPW-60</x:v>
      </x:c>
      <x:c r="B26" s="37" t="str">
        <x:v>Tracto Camion</x:v>
      </x:c>
      <x:c r="C26" s="37" t="str">
        <x:v>Transporte San Antonio</x:v>
      </x:c>
      <x:c r="D26" s="37" t="str">
        <x:v>Vigente</x:v>
      </x:c>
      <x:c r="E26" s="37" t="str">
        <x:v>Vigente</x:v>
      </x:c>
      <x:c r="F26" s="37" t="str">
        <x:v>Vigente</x:v>
      </x:c>
      <x:c r="G26" s="37" t="str">
        <x:v>Vigente</x:v>
      </x:c>
      <x:c r="H26" s="37" t="str">
        <x:v>Vigente</x:v>
      </x:c>
      <x:c r="I26" s="37" t="str">
        <x:v>Si</x:v>
      </x:c>
      <x:c r="J26" s="37" t="str">
        <x:v>Vigente</x:v>
      </x:c>
    </x:row>
    <x:row r="27">
      <x:c r="A27" s="37" t="str">
        <x:v>JH-7929</x:v>
      </x:c>
      <x:c r="B27" s="37" t="str">
        <x:v>Semirremolque</x:v>
      </x:c>
      <x:c r="C27" s="37" t="str">
        <x:v>Antuquito S.A</x:v>
      </x:c>
      <x:c r="D27" s="37" t="str">
        <x:v>Vigente</x:v>
      </x:c>
      <x:c r="E27" s="37" t="str">
        <x:v>Vencido</x:v>
      </x:c>
      <x:c r="F27" s="37" t="str">
        <x:v>Vigente</x:v>
      </x:c>
      <x:c r="G27" s="37" t="str">
        <x:v>Vigente</x:v>
      </x:c>
      <x:c r="H27" s="37" t="str">
        <x:v>Vigente</x:v>
      </x:c>
      <x:c r="I27" s="37" t="str">
        <x:v>Si</x:v>
      </x:c>
      <x:c r="J27" s="37" t="str">
        <x:v>Observado</x:v>
      </x:c>
    </x:row>
    <x:row r="28">
      <x:c r="A28" s="37" t="str">
        <x:v>JG-9241</x:v>
      </x:c>
      <x:c r="B28" s="37" t="str">
        <x:v>Semirremolque</x:v>
      </x:c>
      <x:c r="C28" s="37" t="str">
        <x:v>Transporte San Antonio</x:v>
      </x:c>
      <x:c r="D28" s="37" t="str">
        <x:v>Vigente</x:v>
      </x:c>
      <x:c r="E28" s="37" t="str">
        <x:v>Vencido</x:v>
      </x:c>
      <x:c r="F28" s="37" t="str">
        <x:v>Vigente</x:v>
      </x:c>
      <x:c r="G28" s="37" t="str">
        <x:v>Vigente</x:v>
      </x:c>
      <x:c r="H28" s="37" t="str">
        <x:v>Vigente</x:v>
      </x:c>
      <x:c r="I28" s="37" t="str">
        <x:v>Si</x:v>
      </x:c>
      <x:c r="J28" s="37" t="str">
        <x:v>Observado</x:v>
      </x:c>
    </x:row>
    <x:row r="29">
      <x:c r="A29" s="37" t="str">
        <x:v>JF-3727</x:v>
      </x:c>
      <x:c r="B29" s="37" t="str">
        <x:v>Semirremolque</x:v>
      </x:c>
      <x:c r="C29" s="37" t="str">
        <x:v>Transporte San Antonio</x:v>
      </x:c>
      <x:c r="D29" s="37" t="str">
        <x:v>Vigente</x:v>
      </x:c>
      <x:c r="E29" s="37" t="str">
        <x:v>Vencido</x:v>
      </x:c>
      <x:c r="F29" s="37" t="str">
        <x:v>Vigente</x:v>
      </x:c>
      <x:c r="G29" s="37" t="str">
        <x:v>Vigente</x:v>
      </x:c>
      <x:c r="H29" s="37" t="str">
        <x:v>Vigente</x:v>
      </x:c>
      <x:c r="I29" s="37" t="str">
        <x:v>Si</x:v>
      </x:c>
      <x:c r="J29" s="37" t="str">
        <x:v>Observado</x:v>
      </x:c>
    </x:row>
    <x:row r="30">
      <x:c r="A30" s="37" t="str">
        <x:v>HXDX-88</x:v>
      </x:c>
      <x:c r="B30" s="37" t="str">
        <x:v>Semirremolque</x:v>
      </x:c>
      <x:c r="C30" s="37" t="str">
        <x:v>Transporte San Antonio</x:v>
      </x:c>
      <x:c r="D30" s="37" t="str">
        <x:v>Vigente</x:v>
      </x:c>
      <x:c r="E30" s="37" t="str">
        <x:v>Vencido</x:v>
      </x:c>
      <x:c r="F30" s="37" t="str">
        <x:v>Vigente</x:v>
      </x:c>
      <x:c r="G30" s="37" t="str">
        <x:v>Vigente</x:v>
      </x:c>
      <x:c r="H30" s="37" t="str">
        <x:v>Vigente</x:v>
      </x:c>
      <x:c r="I30" s="37" t="str">
        <x:v>Si</x:v>
      </x:c>
      <x:c r="J30" s="37" t="str">
        <x:v>Observado</x:v>
      </x:c>
    </x:row>
    <x:row r="31">
      <x:c r="A31" s="37" t="str">
        <x:v>JF-6173</x:v>
      </x:c>
      <x:c r="B31" s="37" t="str">
        <x:v>Semirremolque</x:v>
      </x:c>
      <x:c r="C31" s="37" t="str">
        <x:v>Transporte San Antonio</x:v>
      </x:c>
      <x:c r="D31" s="37" t="str">
        <x:v>Por vencer</x:v>
      </x:c>
      <x:c r="E31" s="37" t="str">
        <x:v>Vencido</x:v>
      </x:c>
      <x:c r="F31" s="37" t="str">
        <x:v>Vigente</x:v>
      </x:c>
      <x:c r="G31" s="37" t="str">
        <x:v>Vigente</x:v>
      </x:c>
      <x:c r="H31" s="37" t="str">
        <x:v>Vigente</x:v>
      </x:c>
      <x:c r="I31" s="37" t="str">
        <x:v>Si</x:v>
      </x:c>
      <x:c r="J31" s="37" t="str">
        <x:v>Observado</x:v>
      </x:c>
    </x:row>
    <x:row r="32">
      <x:c r="A32" s="37" t="str">
        <x:v>HGJR-40</x:v>
      </x:c>
      <x:c r="B32" s="37" t="str">
        <x:v>Semirremolque</x:v>
      </x:c>
      <x:c r="C32" s="37" t="str">
        <x:v>Transporte San Antonio</x:v>
      </x:c>
      <x:c r="D32" s="37" t="str">
        <x:v>Vigente</x:v>
      </x:c>
      <x:c r="E32" s="37" t="str">
        <x:v>Vencido</x:v>
      </x:c>
      <x:c r="F32" s="37" t="str">
        <x:v>Vigente</x:v>
      </x:c>
      <x:c r="G32" s="37" t="str">
        <x:v>Vigente</x:v>
      </x:c>
      <x:c r="H32" s="37" t="str">
        <x:v>Vigente</x:v>
      </x:c>
      <x:c r="I32" s="37" t="str">
        <x:v>Si</x:v>
      </x:c>
      <x:c r="J32" s="37" t="str">
        <x:v>Observado</x:v>
      </x:c>
    </x:row>
    <x:row r="33">
      <x:c r="A33" s="37" t="str">
        <x:v>CRRK-61</x:v>
      </x:c>
      <x:c r="B33" s="37" t="str">
        <x:v>Tracto Camion</x:v>
      </x:c>
      <x:c r="C33" s="37" t="str">
        <x:v>Transporte San Antonio</x:v>
      </x:c>
      <x:c r="D33" s="37" t="str">
        <x:v>Por vencer</x:v>
      </x:c>
      <x:c r="E33" s="37" t="str">
        <x:v>Por vencer</x:v>
      </x:c>
      <x:c r="F33" s="37" t="str">
        <x:v>Vigente</x:v>
      </x:c>
      <x:c r="G33" s="37" t="str">
        <x:v>Vigente</x:v>
      </x:c>
      <x:c r="H33" s="37" t="str">
        <x:v>Vigente</x:v>
      </x:c>
      <x:c r="I33" s="37" t="str">
        <x:v>Si</x:v>
      </x:c>
      <x:c r="J33" s="37" t="str">
        <x:v>Observado</x:v>
      </x:c>
    </x:row>
    <x:row r="34">
      <x:c r="A34" s="37" t="str">
        <x:v>JYYF-31</x:v>
      </x:c>
      <x:c r="B34" s="37" t="str">
        <x:v>Tracto Camion</x:v>
      </x:c>
      <x:c r="C34" s="37" t="str">
        <x:v>Antuquito S.A</x:v>
      </x:c>
      <x:c r="D34" s="37" t="str">
        <x:v>Vigente</x:v>
      </x:c>
      <x:c r="E34" s="37" t="str">
        <x:v>Vigente</x:v>
      </x:c>
      <x:c r="F34" s="37" t="str">
        <x:v>Vigente</x:v>
      </x:c>
      <x:c r="G34" s="37" t="str">
        <x:v>Vigente</x:v>
      </x:c>
      <x:c r="H34" s="37" t="str">
        <x:v>Vigente</x:v>
      </x:c>
      <x:c r="I34" s="37" t="str">
        <x:v>Si</x:v>
      </x:c>
      <x:c r="J34" s="37" t="str">
        <x:v>Vigente</x:v>
      </x:c>
    </x:row>
    <x:row r="35">
      <x:c r="A35" s="37" t="str">
        <x:v>SVJD-60</x:v>
      </x:c>
      <x:c r="B35" s="37" t="str">
        <x:v>Tracto Camion</x:v>
      </x:c>
      <x:c r="C35" s="37" t="str">
        <x:v>Transporte San Antonio</x:v>
      </x:c>
      <x:c r="D35" s="37" t="str">
        <x:v>Vigente</x:v>
      </x:c>
      <x:c r="E35" s="37" t="str">
        <x:v>Vigente</x:v>
      </x:c>
      <x:c r="F35" s="37" t="str">
        <x:v>Vigente</x:v>
      </x:c>
      <x:c r="G35" s="37" t="str">
        <x:v>Vigente</x:v>
      </x:c>
      <x:c r="H35" s="37" t="str">
        <x:v>Vigente</x:v>
      </x:c>
      <x:c r="I35" s="37" t="str">
        <x:v>Si</x:v>
      </x:c>
      <x:c r="J35" s="37" t="str">
        <x:v>Vigente</x:v>
      </x:c>
    </x:row>
    <x:row r="36">
      <x:c r="A36" s="37" t="str">
        <x:v>LPHZ-41</x:v>
      </x:c>
      <x:c r="B36" s="37" t="str">
        <x:v>Tracto Camion</x:v>
      </x:c>
      <x:c r="C36" s="37" t="str">
        <x:v>Transporte San Antonio</x:v>
      </x:c>
      <x:c r="D36" s="37" t="str">
        <x:v>Vigente</x:v>
      </x:c>
      <x:c r="E36" s="37" t="str">
        <x:v>Vigente</x:v>
      </x:c>
      <x:c r="F36" s="37" t="str">
        <x:v>Vigente</x:v>
      </x:c>
      <x:c r="G36" s="37" t="str">
        <x:v>Vigente</x:v>
      </x:c>
      <x:c r="H36" s="37" t="str">
        <x:v>Vigente</x:v>
      </x:c>
      <x:c r="I36" s="37" t="str">
        <x:v>Si</x:v>
      </x:c>
      <x:c r="J36" s="37" t="str">
        <x:v>Vigente</x:v>
      </x:c>
    </x:row>
    <x:row r="37">
      <x:c r="A37" s="37" t="str">
        <x:v>PXFL-70</x:v>
      </x:c>
      <x:c r="B37" s="37" t="str">
        <x:v>Semirremolque</x:v>
      </x:c>
      <x:c r="C37" s="37" t="str">
        <x:v>Transporte San Antonio</x:v>
      </x:c>
      <x:c r="D37" s="37" t="str">
        <x:v>Vigente</x:v>
      </x:c>
      <x:c r="E37" s="37" t="str">
        <x:v>Vencido</x:v>
      </x:c>
      <x:c r="F37" s="37" t="str">
        <x:v>Vigente</x:v>
      </x:c>
      <x:c r="G37" s="37" t="str">
        <x:v>Vigente</x:v>
      </x:c>
      <x:c r="H37" s="37" t="str">
        <x:v>Vigente</x:v>
      </x:c>
      <x:c r="I37" s="37" t="str">
        <x:v>Si</x:v>
      </x:c>
      <x:c r="J37" s="37" t="str">
        <x:v>Observado</x:v>
      </x:c>
    </x:row>
    <x:row r="38">
      <x:c r="A38" s="37" t="str">
        <x:v>GRFF-85</x:v>
      </x:c>
      <x:c r="B38" s="37" t="str">
        <x:v>Semirremolque</x:v>
      </x:c>
      <x:c r="C38" s="37" t="str">
        <x:v>Transporte San Antonio</x:v>
      </x:c>
      <x:c r="D38" s="37" t="str">
        <x:v>Vigente</x:v>
      </x:c>
      <x:c r="E38" s="37" t="str">
        <x:v>Vencido</x:v>
      </x:c>
      <x:c r="F38" s="37" t="str">
        <x:v>Vigente</x:v>
      </x:c>
      <x:c r="G38" s="37" t="str">
        <x:v>Vigente</x:v>
      </x:c>
      <x:c r="H38" s="37" t="str">
        <x:v>Vigente</x:v>
      </x:c>
      <x:c r="I38" s="37" t="str">
        <x:v>Si</x:v>
      </x:c>
      <x:c r="J38" s="37" t="str">
        <x:v>Observado</x:v>
      </x:c>
    </x:row>
    <x:row r="39">
      <x:c r="A39" s="37" t="str">
        <x:v>BTCC-82</x:v>
      </x:c>
      <x:c r="B39" s="37" t="str">
        <x:v>Tracto Camion</x:v>
      </x:c>
      <x:c r="C39" s="37" t="str">
        <x:v>Transporte San Antonio</x:v>
      </x:c>
      <x:c r="D39" s="37" t="str">
        <x:v>Vigente</x:v>
      </x:c>
      <x:c r="E39" s="37" t="str">
        <x:v>Vigente</x:v>
      </x:c>
      <x:c r="F39" s="37" t="str">
        <x:v>Vigente</x:v>
      </x:c>
      <x:c r="G39" s="37" t="str">
        <x:v>Vigente</x:v>
      </x:c>
      <x:c r="H39" s="37" t="str">
        <x:v>Vigente</x:v>
      </x:c>
      <x:c r="I39" s="37" t="str">
        <x:v>Si</x:v>
      </x:c>
      <x:c r="J39" s="37" t="str">
        <x:v>Vigente</x:v>
      </x:c>
    </x:row>
  </x:sheetData>
  <x:conditionalFormatting sqref="D2:J1000">
    <x:cfRule type="expression" dxfId="15" priority="1">
      <x:formula>OR(A1="Vencido",A1="Observado")</x:formula>
    </x:cfRule>
    <x:cfRule type="expression" dxfId="16" priority="2">
      <x:formula>OR(A1="Por vencer",A1="En proceso",A1="Pendiente")</x:formula>
    </x:cfRule>
    <x:cfRule type="expression" dxfId="17" priority="3">
      <x:formula>OR(A1="Vigente",A1="Acreditado",A1="Aprobado",A1="Si")</x:formula>
    </x:cfRule>
  </x:conditionalFormatting>
  <x:dataValidations count="1">
    <x:dataValidation type="list" sqref="D2:J1000">
      <x:formula1>Listas!$A$2:$A$8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2916f891dd44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</x:cols>
  <x:sheetData>
    <x:row r="1">
      <x:c r="A1" s="47" t="str">
        <x:v>Estados</x:v>
      </x:c>
    </x:row>
    <x:row r="2">
      <x:c r="A2" s="14" t="str">
        <x:v>Vigente</x:v>
      </x:c>
    </x:row>
    <x:row r="3">
      <x:c r="A3" s="14" t="str">
        <x:v>Por vencer</x:v>
      </x:c>
    </x:row>
    <x:row r="4">
      <x:c r="A4" s="14" t="str">
        <x:v>Vencido</x:v>
      </x:c>
    </x:row>
    <x:row r="5">
      <x:c r="A5" s="14" t="str">
        <x:v>Acreditado</x:v>
      </x:c>
    </x:row>
    <x:row r="6">
      <x:c r="A6" s="14" t="str">
        <x:v>En proceso</x:v>
      </x:c>
    </x:row>
    <x:row r="7">
      <x:c r="A7" s="14" t="str">
        <x:v>Observado</x:v>
      </x:c>
    </x:row>
    <x:row r="8">
      <x:c r="A8" s="14" t="str">
        <x:v>Pendiente</x:v>
      </x:c>
    </x:row>
    <x:row r="9">
      <x:c r="A9" s="14" t="str">
        <x:v>Aprobado</x:v>
      </x:c>
    </x:row>
    <x:row r="10">
      <x:c r="A10" s="14" t="str"/>
    </x:row>
    <x:row r="11">
      <x:c r="A11" s="47" t="str">
        <x:v>Faenas</x:v>
      </x:c>
    </x:row>
    <x:row r="12">
      <x:c r="A12" s="14" t="str">
        <x:v>CMDIC</x:v>
      </x:c>
    </x:row>
    <x:row r="13">
      <x:c r="A13" s="14" t="str">
        <x:v>QB</x:v>
      </x:c>
    </x:row>
    <x:row r="14">
      <x:c r="A14" s="14" t="str">
        <x:v>Otra</x:v>
      </x:c>
    </x:row>
    <x:row r="15">
      <x:c r="A15" s="14" t="str"/>
    </x:row>
    <x:row r="16">
      <x:c r="A16" s="47" t="str">
        <x:v>Tipos de contrato</x:v>
      </x:c>
    </x:row>
    <x:row r="17">
      <x:c r="A17" s="14" t="str">
        <x:v>Indefinido</x:v>
      </x:c>
    </x:row>
    <x:row r="18">
      <x:c r="A18" s="14" t="str">
        <x:v>Plazo fijo</x:v>
      </x:c>
    </x:row>
    <x:row r="19">
      <x:c r="A19" s="14" t="str">
        <x:v>Anexo</x:v>
      </x:c>
    </x:row>
    <x:row r="20">
      <x:c r="A20" s="14" t="str">
        <x:v>Finiquito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0" hidden="0" customWidth="1"/>
  </x:cols>
  <x:sheetData>
    <x:row r="1">
      <x:c r="A1" s="11" t="str">
        <x:v>INSTRUCCIONES DE USO - EXCEL MAESTRO ASESORÍA JT</x:v>
      </x:c>
    </x:row>
    <x:row r="3">
      <x:c r="A3" s="18" t="str">
        <x:v>1</x:v>
      </x:c>
      <x:c r="B3" s="18" t="str">
        <x:v>Completa o pega datos en las hojas Trabajadores, Contratos, Acreditacion_CMDIC, Acreditacion_QB, Capacitaciones y Equipos.</x:v>
      </x:c>
    </x:row>
    <x:row r="4">
      <x:c r="A4" s="18" t="str">
        <x:v>2</x:v>
      </x:c>
      <x:c r="B4" s="18" t="str">
        <x:v>Mantén los estados escritos igual que en la hoja Listas: Vigente, Por vencer, Vencido, Acreditado, En proceso u Observado.</x:v>
      </x:c>
    </x:row>
    <x:row r="5">
      <x:c r="A5" s="18" t="str">
        <x:v>3</x:v>
      </x:c>
      <x:c r="B5" s="18" t="str">
        <x:v>El Dashboard calcula totales automáticamente desde las hojas del libro.</x:v>
      </x:c>
    </x:row>
    <x:row r="6">
      <x:c r="A6" s="18" t="str">
        <x:v>4</x:v>
      </x:c>
      <x:c r="B6" s="18" t="str">
        <x:v>Puedes usar esta plantilla para cualquier cliente: transporte, minería, servicios, contratistas o subcontratistas.</x:v>
      </x:c>
    </x:row>
    <x:row r="7">
      <x:c r="A7" s="18" t="str">
        <x:v>5</x:v>
      </x:c>
      <x:c r="B7" s="18" t="str">
        <x:v>Más adelante esta estructura puede conectarse a la página web de Asesoría JT.</x:v>
      </x:c>
    </x:row>
  </x:sheetData>
  <x:mergeCells>
    <x:mergeCell ref="A1:F1"/>
  </x:mergeCells>
  <x:pageMargins left="0.7" right="0.7" top="0.75" bottom="0.75" header="0.3" footer="0.3"/>
</x:worksheet>
</file>